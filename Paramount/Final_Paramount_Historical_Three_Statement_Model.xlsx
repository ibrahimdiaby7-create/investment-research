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teamdojo/Desktop/Prep/Paramount/"/>
    </mc:Choice>
  </mc:AlternateContent>
  <xr:revisionPtr revIDLastSave="0" documentId="8_{7777917A-3EBC-CD42-B2E0-D018E6600CE5}" xr6:coauthVersionLast="47" xr6:coauthVersionMax="47" xr10:uidLastSave="{00000000-0000-0000-0000-000000000000}"/>
  <bookViews>
    <workbookView xWindow="32480" yWindow="1260" windowWidth="28800" windowHeight="17500" xr2:uid="{00000000-000D-0000-FFFF-FFFF00000000}"/>
  </bookViews>
  <sheets>
    <sheet name="Summary" sheetId="10" r:id="rId1"/>
    <sheet name="Historicals" sheetId="1" r:id="rId2"/>
    <sheet name="Forecast" sheetId="4" r:id="rId3"/>
    <sheet name="Assumptions" sheetId="5" r:id="rId4"/>
    <sheet name="DCF" sheetId="9" r:id="rId5"/>
    <sheet name="2025 Reported Bridge" sheetId="2" r:id="rId6"/>
    <sheet name="Source Notes" sheetId="3" r:id="rId7"/>
  </sheets>
  <definedNames>
    <definedName name="_xlchart.v1.0" hidden="1">Summary!$E$4:$E$6</definedName>
    <definedName name="_xlchart.v1.1" hidden="1">Summary!$G$4:$G$6</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8" i="4" l="1"/>
  <c r="M43" i="4"/>
  <c r="M34" i="4"/>
  <c r="M46" i="4"/>
  <c r="L34" i="4"/>
  <c r="L43" i="4"/>
  <c r="L46" i="4"/>
  <c r="K46" i="4"/>
  <c r="K43" i="4"/>
  <c r="K37" i="4"/>
  <c r="J37" i="4"/>
  <c r="J43" i="4"/>
  <c r="I43" i="4"/>
  <c r="J59" i="4"/>
  <c r="K59" i="4"/>
  <c r="L59" i="4"/>
  <c r="M59" i="4"/>
  <c r="I59" i="4"/>
  <c r="M51" i="4"/>
  <c r="L51" i="4"/>
  <c r="K51" i="4"/>
  <c r="J51" i="4"/>
  <c r="I51" i="4"/>
  <c r="D11" i="10"/>
  <c r="D79" i="9"/>
  <c r="K103" i="9"/>
  <c r="L103" i="9"/>
  <c r="L105" i="9" s="1"/>
  <c r="K102" i="9"/>
  <c r="L102" i="9"/>
  <c r="K101" i="9"/>
  <c r="L101" i="9"/>
  <c r="K100" i="9"/>
  <c r="L100" i="9"/>
  <c r="K99" i="9"/>
  <c r="L99" i="9" s="1"/>
  <c r="K98" i="9"/>
  <c r="L98" i="9"/>
  <c r="K97" i="9"/>
  <c r="L97" i="9"/>
  <c r="K96" i="9"/>
  <c r="L96" i="9"/>
  <c r="K95" i="9"/>
  <c r="L95" i="9" s="1"/>
  <c r="K94" i="9"/>
  <c r="L94" i="9" s="1"/>
  <c r="K93" i="9"/>
  <c r="L93" i="9"/>
  <c r="K92" i="9"/>
  <c r="L92" i="9"/>
  <c r="K91" i="9"/>
  <c r="L91" i="9"/>
  <c r="K90" i="9"/>
  <c r="L90" i="9"/>
  <c r="K89" i="9"/>
  <c r="L89" i="9" s="1"/>
  <c r="G22" i="9" l="1"/>
  <c r="F23" i="10" s="1"/>
  <c r="H22" i="9"/>
  <c r="G23" i="10" s="1"/>
  <c r="F22" i="9"/>
  <c r="E23" i="10" s="1"/>
  <c r="J21" i="9"/>
  <c r="J33" i="9" s="1"/>
  <c r="K21" i="9"/>
  <c r="K33" i="9" s="1"/>
  <c r="L21" i="9"/>
  <c r="L33" i="9" s="1"/>
  <c r="M21" i="9"/>
  <c r="M33" i="9" s="1"/>
  <c r="I21" i="9"/>
  <c r="I33" i="9" s="1"/>
  <c r="G15" i="9"/>
  <c r="H15" i="9"/>
  <c r="F15" i="9"/>
  <c r="G18" i="9"/>
  <c r="G35" i="9" s="1"/>
  <c r="F27" i="10" s="1"/>
  <c r="H18" i="9"/>
  <c r="F18" i="9"/>
  <c r="F35" i="9" s="1"/>
  <c r="E27" i="10" s="1"/>
  <c r="G12" i="9"/>
  <c r="H12" i="9"/>
  <c r="F12" i="9"/>
  <c r="G11" i="9"/>
  <c r="F17" i="10" s="1"/>
  <c r="H11" i="9"/>
  <c r="G17" i="10" s="1"/>
  <c r="F11" i="9"/>
  <c r="K88" i="9"/>
  <c r="L88" i="9" s="1"/>
  <c r="K87" i="9"/>
  <c r="L87" i="9" s="1"/>
  <c r="K86" i="9"/>
  <c r="L86" i="9" s="1"/>
  <c r="K85" i="9"/>
  <c r="L85" i="9" s="1"/>
  <c r="K84" i="9"/>
  <c r="L84" i="9" s="1"/>
  <c r="K83" i="9"/>
  <c r="L83" i="9" s="1"/>
  <c r="K82" i="9"/>
  <c r="L82" i="9" s="1"/>
  <c r="K81" i="9"/>
  <c r="L81" i="9" s="1"/>
  <c r="K80" i="9"/>
  <c r="L80" i="9" s="1"/>
  <c r="K79" i="9"/>
  <c r="L79" i="9" s="1"/>
  <c r="D80" i="9"/>
  <c r="D68" i="9"/>
  <c r="H33" i="9"/>
  <c r="G33" i="9"/>
  <c r="F33" i="9"/>
  <c r="G18" i="10" l="1"/>
  <c r="F7" i="9"/>
  <c r="E17" i="10"/>
  <c r="F18" i="10" s="1"/>
  <c r="H9" i="9"/>
  <c r="G5" i="9"/>
  <c r="G6" i="9"/>
  <c r="G9" i="9"/>
  <c r="H5" i="9"/>
  <c r="H13" i="9"/>
  <c r="H16" i="9" s="1"/>
  <c r="H6" i="9"/>
  <c r="G13" i="9"/>
  <c r="G16" i="9" s="1"/>
  <c r="H7" i="9"/>
  <c r="G7" i="9"/>
  <c r="N59" i="9"/>
  <c r="F6" i="9"/>
  <c r="F13" i="9"/>
  <c r="F16" i="9" s="1"/>
  <c r="H35" i="9"/>
  <c r="G27" i="10" s="1"/>
  <c r="D73" i="9"/>
  <c r="F32" i="9" l="1"/>
  <c r="F34" i="9" s="1"/>
  <c r="E26" i="10" s="1"/>
  <c r="E20" i="10"/>
  <c r="H19" i="9"/>
  <c r="G20" i="10"/>
  <c r="G19" i="9"/>
  <c r="F20" i="10"/>
  <c r="G32" i="9"/>
  <c r="G34" i="9" s="1"/>
  <c r="F26" i="10" s="1"/>
  <c r="H32" i="9"/>
  <c r="H34" i="9" s="1"/>
  <c r="G26" i="10" s="1"/>
  <c r="F19" i="9"/>
  <c r="G21" i="10" l="1"/>
  <c r="G24" i="10"/>
  <c r="F21" i="10"/>
  <c r="F24" i="10"/>
  <c r="E21" i="10"/>
  <c r="E24" i="10"/>
  <c r="M37" i="4"/>
  <c r="L37" i="4"/>
  <c r="D21" i="5"/>
  <c r="J70" i="4" s="1"/>
  <c r="E21" i="5"/>
  <c r="K70" i="4" s="1"/>
  <c r="F21" i="5"/>
  <c r="L70" i="4" s="1"/>
  <c r="G21" i="5"/>
  <c r="M70" i="4" s="1"/>
  <c r="C21" i="5"/>
  <c r="I70" i="4" s="1"/>
  <c r="J49" i="4"/>
  <c r="L49" i="4"/>
  <c r="D26" i="5"/>
  <c r="E26" i="5"/>
  <c r="K49" i="4" s="1"/>
  <c r="F26" i="5"/>
  <c r="G26" i="5"/>
  <c r="M49" i="4" s="1"/>
  <c r="C27" i="5"/>
  <c r="C26" i="5"/>
  <c r="C25" i="5"/>
  <c r="H92" i="4"/>
  <c r="I92" i="4" s="1"/>
  <c r="J92" i="4" s="1"/>
  <c r="K92" i="4" s="1"/>
  <c r="L92" i="4" s="1"/>
  <c r="M92" i="4" s="1"/>
  <c r="F92" i="4"/>
  <c r="I19" i="4"/>
  <c r="J19" i="4" s="1"/>
  <c r="M97" i="4"/>
  <c r="M69" i="4" s="1"/>
  <c r="L97" i="4"/>
  <c r="L69" i="4" s="1"/>
  <c r="K97" i="4"/>
  <c r="K69" i="4" s="1"/>
  <c r="M42" i="4"/>
  <c r="L42" i="4"/>
  <c r="K42" i="4"/>
  <c r="J42" i="4"/>
  <c r="I42" i="4"/>
  <c r="J97" i="4"/>
  <c r="J69" i="4" s="1"/>
  <c r="I97" i="4"/>
  <c r="I69" i="4" s="1"/>
  <c r="D128" i="4"/>
  <c r="F10" i="2"/>
  <c r="D13" i="1"/>
  <c r="E13" i="1"/>
  <c r="F13" i="1"/>
  <c r="G13" i="1"/>
  <c r="C13" i="1"/>
  <c r="D10" i="1"/>
  <c r="E10" i="1"/>
  <c r="F10" i="1"/>
  <c r="G10" i="1"/>
  <c r="D11" i="1"/>
  <c r="E11" i="1"/>
  <c r="F11" i="1"/>
  <c r="G11" i="1"/>
  <c r="D12" i="1"/>
  <c r="E12" i="1"/>
  <c r="F12" i="1"/>
  <c r="G12" i="1"/>
  <c r="C11" i="1"/>
  <c r="C12" i="1"/>
  <c r="C10" i="1"/>
  <c r="D9" i="1"/>
  <c r="E9" i="1"/>
  <c r="F9" i="1"/>
  <c r="G9" i="1"/>
  <c r="C9" i="1"/>
  <c r="D8" i="1"/>
  <c r="E8" i="1"/>
  <c r="F8" i="1"/>
  <c r="G8" i="1"/>
  <c r="C8" i="1"/>
  <c r="D7" i="1"/>
  <c r="E7" i="1"/>
  <c r="F7" i="1"/>
  <c r="G7" i="1"/>
  <c r="C7" i="1"/>
  <c r="D6" i="1"/>
  <c r="E6" i="1"/>
  <c r="F6" i="1"/>
  <c r="G6" i="1"/>
  <c r="C6" i="1"/>
  <c r="I6" i="4"/>
  <c r="I12" i="9" s="1"/>
  <c r="I11" i="4"/>
  <c r="J11" i="4" s="1"/>
  <c r="K11" i="4" s="1"/>
  <c r="L11" i="4" s="1"/>
  <c r="M11" i="4" s="1"/>
  <c r="I10" i="4"/>
  <c r="J10" i="4" s="1"/>
  <c r="K10" i="4" s="1"/>
  <c r="L10" i="4" s="1"/>
  <c r="M10" i="4" s="1"/>
  <c r="I9" i="4"/>
  <c r="I8" i="4"/>
  <c r="J8" i="4" s="1"/>
  <c r="K8" i="4" s="1"/>
  <c r="L8" i="4" s="1"/>
  <c r="M8" i="4" s="1"/>
  <c r="I7" i="4"/>
  <c r="D7" i="5"/>
  <c r="E7" i="5"/>
  <c r="F7" i="5"/>
  <c r="G7" i="5"/>
  <c r="C7" i="5"/>
  <c r="I5" i="4" s="1"/>
  <c r="L5" i="5"/>
  <c r="L6" i="5"/>
  <c r="L4" i="5"/>
  <c r="E99" i="4"/>
  <c r="F99" i="4"/>
  <c r="G99" i="4"/>
  <c r="H99" i="4"/>
  <c r="D82" i="9" s="1"/>
  <c r="D99" i="4"/>
  <c r="D90" i="4"/>
  <c r="E58" i="4"/>
  <c r="F58" i="4"/>
  <c r="G58" i="4"/>
  <c r="H58" i="4"/>
  <c r="E59" i="4"/>
  <c r="E92" i="4" s="1"/>
  <c r="F59" i="4"/>
  <c r="G59" i="4"/>
  <c r="G92" i="4" s="1"/>
  <c r="H59" i="4"/>
  <c r="E60" i="4"/>
  <c r="E61" i="4" s="1"/>
  <c r="F60" i="4"/>
  <c r="F61" i="4" s="1"/>
  <c r="G60" i="4"/>
  <c r="G61" i="4" s="1"/>
  <c r="H60" i="4"/>
  <c r="E64" i="4"/>
  <c r="E91" i="4" s="1"/>
  <c r="F64" i="4"/>
  <c r="G64" i="4"/>
  <c r="H64" i="4"/>
  <c r="E65" i="4"/>
  <c r="E66" i="4" s="1"/>
  <c r="F65" i="4"/>
  <c r="F66" i="4" s="1"/>
  <c r="G65" i="4"/>
  <c r="G66" i="4" s="1"/>
  <c r="H65" i="4"/>
  <c r="E69" i="4"/>
  <c r="E97" i="4" s="1"/>
  <c r="F69" i="4"/>
  <c r="F97" i="4" s="1"/>
  <c r="G69" i="4"/>
  <c r="G97" i="4" s="1"/>
  <c r="H69" i="4"/>
  <c r="H97" i="4" s="1"/>
  <c r="E70" i="4"/>
  <c r="F70" i="4"/>
  <c r="G70" i="4"/>
  <c r="H70" i="4"/>
  <c r="E71" i="4"/>
  <c r="F71" i="4"/>
  <c r="G71" i="4"/>
  <c r="H71" i="4"/>
  <c r="H72" i="4" s="1"/>
  <c r="E75" i="4"/>
  <c r="F75" i="4"/>
  <c r="G75" i="4"/>
  <c r="H75" i="4"/>
  <c r="E76" i="4"/>
  <c r="F76" i="4"/>
  <c r="G76" i="4"/>
  <c r="H76" i="4"/>
  <c r="D76" i="4"/>
  <c r="D75" i="4"/>
  <c r="D65" i="4"/>
  <c r="D60" i="4"/>
  <c r="D71" i="4"/>
  <c r="D70" i="4"/>
  <c r="D69" i="4"/>
  <c r="D64" i="4"/>
  <c r="D91" i="4" s="1"/>
  <c r="C115" i="1"/>
  <c r="D59" i="4"/>
  <c r="D92" i="4" s="1"/>
  <c r="D58" i="4"/>
  <c r="D12" i="4"/>
  <c r="D46" i="4"/>
  <c r="E31" i="4"/>
  <c r="F31" i="4"/>
  <c r="G31" i="4"/>
  <c r="H31" i="4"/>
  <c r="I67" i="9" s="1"/>
  <c r="E32" i="4"/>
  <c r="E83" i="4" s="1"/>
  <c r="F32" i="4"/>
  <c r="F83" i="4" s="1"/>
  <c r="G32" i="4"/>
  <c r="G83" i="4" s="1"/>
  <c r="H32" i="4"/>
  <c r="H83" i="4" s="1"/>
  <c r="E33" i="4"/>
  <c r="E84" i="4" s="1"/>
  <c r="F33" i="4"/>
  <c r="F84" i="4" s="1"/>
  <c r="G33" i="4"/>
  <c r="G84" i="4" s="1"/>
  <c r="H33" i="4"/>
  <c r="H84" i="4" s="1"/>
  <c r="E34" i="4"/>
  <c r="F34" i="4"/>
  <c r="G34" i="4"/>
  <c r="H34" i="4"/>
  <c r="E35" i="4"/>
  <c r="E36" i="4"/>
  <c r="F36" i="4"/>
  <c r="G36" i="4"/>
  <c r="H36" i="4"/>
  <c r="H90" i="4" s="1"/>
  <c r="E37" i="4"/>
  <c r="F37" i="4"/>
  <c r="G37" i="4"/>
  <c r="H37" i="4"/>
  <c r="E41" i="4"/>
  <c r="E85" i="4" s="1"/>
  <c r="F41" i="4"/>
  <c r="F85" i="4" s="1"/>
  <c r="G41" i="4"/>
  <c r="G85" i="4" s="1"/>
  <c r="H41" i="4"/>
  <c r="H85" i="4" s="1"/>
  <c r="E42" i="4"/>
  <c r="F42" i="4"/>
  <c r="G42" i="4"/>
  <c r="H42" i="4"/>
  <c r="I65" i="9" s="1"/>
  <c r="E43" i="4"/>
  <c r="E44" i="4" s="1"/>
  <c r="F43" i="4"/>
  <c r="G43" i="4"/>
  <c r="H43" i="4"/>
  <c r="E45" i="4"/>
  <c r="F45" i="4"/>
  <c r="G45" i="4"/>
  <c r="H45" i="4"/>
  <c r="I66" i="9" s="1"/>
  <c r="E46" i="4"/>
  <c r="F46" i="4"/>
  <c r="G46" i="4"/>
  <c r="H46" i="4"/>
  <c r="E49" i="4"/>
  <c r="F49" i="4"/>
  <c r="G49" i="4"/>
  <c r="H49" i="4"/>
  <c r="E50" i="4"/>
  <c r="F50" i="4"/>
  <c r="G50" i="4"/>
  <c r="H50" i="4"/>
  <c r="E51" i="4"/>
  <c r="F51" i="4"/>
  <c r="G51" i="4"/>
  <c r="H51" i="4"/>
  <c r="D51" i="4"/>
  <c r="D50" i="4"/>
  <c r="D49" i="4"/>
  <c r="D45" i="4"/>
  <c r="D43" i="4"/>
  <c r="D42" i="4"/>
  <c r="D41" i="4"/>
  <c r="D85" i="4" s="1"/>
  <c r="D37" i="4"/>
  <c r="D36" i="4"/>
  <c r="D34" i="4"/>
  <c r="D33" i="4"/>
  <c r="D84" i="4" s="1"/>
  <c r="D32" i="4"/>
  <c r="D83" i="4" s="1"/>
  <c r="D31" i="4"/>
  <c r="C16" i="5" l="1"/>
  <c r="J7" i="4"/>
  <c r="K7" i="4" s="1"/>
  <c r="I15" i="9"/>
  <c r="J9" i="4"/>
  <c r="K9" i="4" s="1"/>
  <c r="I18" i="9"/>
  <c r="J5" i="4"/>
  <c r="J11" i="9" s="1"/>
  <c r="I11" i="9"/>
  <c r="J18" i="9"/>
  <c r="I71" i="4"/>
  <c r="J71" i="4" s="1"/>
  <c r="H91" i="4"/>
  <c r="H36" i="9"/>
  <c r="G28" i="10" s="1"/>
  <c r="G91" i="4"/>
  <c r="G36" i="9"/>
  <c r="F28" i="10" s="1"/>
  <c r="F91" i="4"/>
  <c r="F36" i="9"/>
  <c r="E28" i="10" s="1"/>
  <c r="C14" i="5"/>
  <c r="D14" i="5" s="1"/>
  <c r="J32" i="4" s="1"/>
  <c r="E52" i="4"/>
  <c r="C15" i="5"/>
  <c r="I49" i="4"/>
  <c r="D98" i="4"/>
  <c r="I68" i="9"/>
  <c r="I73" i="9" s="1"/>
  <c r="D84" i="9"/>
  <c r="D85" i="9" s="1"/>
  <c r="I33" i="4"/>
  <c r="I84" i="4" s="1"/>
  <c r="D16" i="5"/>
  <c r="D15" i="5"/>
  <c r="K19" i="4"/>
  <c r="L19" i="4" s="1"/>
  <c r="J6" i="4"/>
  <c r="I41" i="4"/>
  <c r="G72" i="4"/>
  <c r="G74" i="4" s="1"/>
  <c r="G77" i="4" s="1"/>
  <c r="G78" i="4" s="1"/>
  <c r="I12" i="4"/>
  <c r="I14" i="4" s="1"/>
  <c r="I64" i="4"/>
  <c r="F72" i="4"/>
  <c r="F74" i="4" s="1"/>
  <c r="F77" i="4" s="1"/>
  <c r="F78" i="4" s="1"/>
  <c r="E72" i="4"/>
  <c r="E74" i="4" s="1"/>
  <c r="E77" i="4" s="1"/>
  <c r="E78" i="4" s="1"/>
  <c r="H61" i="4"/>
  <c r="H66" i="4"/>
  <c r="H86" i="4"/>
  <c r="H44" i="4"/>
  <c r="H47" i="4" s="1"/>
  <c r="D72" i="4"/>
  <c r="E86" i="4"/>
  <c r="G86" i="4"/>
  <c r="F86" i="4"/>
  <c r="D97" i="4"/>
  <c r="D86" i="4"/>
  <c r="D87" i="4" s="1"/>
  <c r="K5" i="4"/>
  <c r="K11" i="9" s="1"/>
  <c r="E38" i="4"/>
  <c r="H35" i="4"/>
  <c r="H38" i="4" s="1"/>
  <c r="F35" i="4"/>
  <c r="F38" i="4" s="1"/>
  <c r="F44" i="4"/>
  <c r="F47" i="4" s="1"/>
  <c r="G44" i="4"/>
  <c r="G47" i="4" s="1"/>
  <c r="G35" i="4"/>
  <c r="G38" i="4" s="1"/>
  <c r="D61" i="4"/>
  <c r="D52" i="4"/>
  <c r="D66" i="4"/>
  <c r="G52" i="4"/>
  <c r="E47" i="4"/>
  <c r="H52" i="4"/>
  <c r="F52" i="4"/>
  <c r="D44" i="4"/>
  <c r="D47" i="4" s="1"/>
  <c r="D35" i="4"/>
  <c r="D38" i="4" s="1"/>
  <c r="I32" i="4" l="1"/>
  <c r="E14" i="5"/>
  <c r="F14" i="5" s="1"/>
  <c r="I7" i="9"/>
  <c r="I35" i="9"/>
  <c r="H27" i="10" s="1"/>
  <c r="I9" i="9"/>
  <c r="J17" i="10"/>
  <c r="K5" i="9"/>
  <c r="J15" i="9"/>
  <c r="J7" i="9" s="1"/>
  <c r="H17" i="10"/>
  <c r="H18" i="10" s="1"/>
  <c r="I13" i="9"/>
  <c r="I16" i="9" s="1"/>
  <c r="I5" i="9"/>
  <c r="I6" i="9"/>
  <c r="I17" i="10"/>
  <c r="I18" i="10" s="1"/>
  <c r="J5" i="9"/>
  <c r="L7" i="4"/>
  <c r="K15" i="9"/>
  <c r="K7" i="9" s="1"/>
  <c r="K6" i="4"/>
  <c r="K12" i="4" s="1"/>
  <c r="K14" i="4" s="1"/>
  <c r="J12" i="9"/>
  <c r="J35" i="9"/>
  <c r="I27" i="10" s="1"/>
  <c r="J9" i="9"/>
  <c r="L9" i="4"/>
  <c r="K18" i="9"/>
  <c r="E53" i="4"/>
  <c r="E54" i="4" s="1"/>
  <c r="J72" i="4"/>
  <c r="I72" i="4"/>
  <c r="I66" i="4"/>
  <c r="I36" i="9"/>
  <c r="H28" i="10" s="1"/>
  <c r="K71" i="4"/>
  <c r="K72" i="4" s="1"/>
  <c r="I83" i="4"/>
  <c r="E16" i="5"/>
  <c r="F16" i="5" s="1"/>
  <c r="E15" i="5"/>
  <c r="F15" i="5" s="1"/>
  <c r="G15" i="5" s="1"/>
  <c r="I85" i="4"/>
  <c r="I44" i="4"/>
  <c r="J83" i="4"/>
  <c r="J41" i="4"/>
  <c r="M19" i="4"/>
  <c r="J33" i="4"/>
  <c r="J84" i="4" s="1"/>
  <c r="E96" i="4"/>
  <c r="E98" i="4" s="1"/>
  <c r="F96" i="4" s="1"/>
  <c r="F98" i="4" s="1"/>
  <c r="G96" i="4" s="1"/>
  <c r="G98" i="4" s="1"/>
  <c r="H96" i="4" s="1"/>
  <c r="H98" i="4" s="1"/>
  <c r="I96" i="4" s="1"/>
  <c r="D96" i="4"/>
  <c r="J12" i="4"/>
  <c r="J14" i="4" s="1"/>
  <c r="L5" i="4"/>
  <c r="L11" i="9" s="1"/>
  <c r="K32" i="4"/>
  <c r="J64" i="4"/>
  <c r="I91" i="4"/>
  <c r="H74" i="4"/>
  <c r="H77" i="4" s="1"/>
  <c r="H87" i="4"/>
  <c r="H37" i="9" s="1"/>
  <c r="F87" i="4"/>
  <c r="F37" i="9" s="1"/>
  <c r="G87" i="4"/>
  <c r="G37" i="9" s="1"/>
  <c r="E87" i="4"/>
  <c r="D74" i="4"/>
  <c r="H53" i="4"/>
  <c r="H54" i="4" s="1"/>
  <c r="G53" i="4"/>
  <c r="G54" i="4" s="1"/>
  <c r="F53" i="4"/>
  <c r="F54" i="4" s="1"/>
  <c r="D53" i="4"/>
  <c r="D54" i="4" s="1"/>
  <c r="G14" i="5" l="1"/>
  <c r="K17" i="10"/>
  <c r="K18" i="10" s="1"/>
  <c r="L5" i="9"/>
  <c r="H20" i="10"/>
  <c r="H21" i="10" s="1"/>
  <c r="I32" i="9"/>
  <c r="I34" i="9" s="1"/>
  <c r="H26" i="10" s="1"/>
  <c r="I19" i="9"/>
  <c r="J18" i="10"/>
  <c r="J6" i="9"/>
  <c r="J13" i="9"/>
  <c r="J16" i="9" s="1"/>
  <c r="M9" i="4"/>
  <c r="M18" i="9" s="1"/>
  <c r="L18" i="9"/>
  <c r="L6" i="4"/>
  <c r="L33" i="4" s="1"/>
  <c r="L84" i="4" s="1"/>
  <c r="K12" i="9"/>
  <c r="K35" i="9"/>
  <c r="J27" i="10" s="1"/>
  <c r="K9" i="9"/>
  <c r="M7" i="4"/>
  <c r="M15" i="9" s="1"/>
  <c r="L15" i="9"/>
  <c r="L7" i="9" s="1"/>
  <c r="J66" i="4"/>
  <c r="J36" i="9"/>
  <c r="I28" i="10" s="1"/>
  <c r="L71" i="4"/>
  <c r="L72" i="4" s="1"/>
  <c r="G29" i="10"/>
  <c r="H38" i="9"/>
  <c r="G31" i="10" s="1"/>
  <c r="F29" i="10"/>
  <c r="G38" i="9"/>
  <c r="F31" i="10" s="1"/>
  <c r="E29" i="10"/>
  <c r="F38" i="9"/>
  <c r="E31" i="10" s="1"/>
  <c r="K33" i="4"/>
  <c r="K84" i="4" s="1"/>
  <c r="I86" i="4"/>
  <c r="I87" i="4" s="1"/>
  <c r="I37" i="9" s="1"/>
  <c r="H78" i="4"/>
  <c r="I75" i="4"/>
  <c r="G16" i="5"/>
  <c r="K83" i="4"/>
  <c r="K41" i="4"/>
  <c r="J85" i="4"/>
  <c r="J86" i="4" s="1"/>
  <c r="J44" i="4"/>
  <c r="I98" i="4"/>
  <c r="M5" i="4"/>
  <c r="M11" i="9" s="1"/>
  <c r="L32" i="4"/>
  <c r="K64" i="4"/>
  <c r="J91" i="4"/>
  <c r="D77" i="4"/>
  <c r="D78" i="4" s="1"/>
  <c r="M7" i="9" l="1"/>
  <c r="L17" i="10"/>
  <c r="L18" i="10" s="1"/>
  <c r="N11" i="9"/>
  <c r="M5" i="9"/>
  <c r="K6" i="9"/>
  <c r="K13" i="9"/>
  <c r="K16" i="9" s="1"/>
  <c r="J32" i="9"/>
  <c r="J34" i="9" s="1"/>
  <c r="I26" i="10" s="1"/>
  <c r="I20" i="10"/>
  <c r="I21" i="10" s="1"/>
  <c r="J19" i="9"/>
  <c r="M6" i="4"/>
  <c r="M41" i="4" s="1"/>
  <c r="M85" i="4" s="1"/>
  <c r="L12" i="9"/>
  <c r="L12" i="4"/>
  <c r="L14" i="4" s="1"/>
  <c r="N18" i="9"/>
  <c r="M35" i="9"/>
  <c r="L27" i="10" s="1"/>
  <c r="M9" i="9"/>
  <c r="L35" i="9"/>
  <c r="K27" i="10" s="1"/>
  <c r="L9" i="9"/>
  <c r="L41" i="4"/>
  <c r="K66" i="4"/>
  <c r="K36" i="9"/>
  <c r="J28" i="10" s="1"/>
  <c r="M71" i="4"/>
  <c r="M72" i="4" s="1"/>
  <c r="J87" i="4"/>
  <c r="J37" i="9" s="1"/>
  <c r="H29" i="10"/>
  <c r="I38" i="9"/>
  <c r="L83" i="4"/>
  <c r="K85" i="4"/>
  <c r="K86" i="4" s="1"/>
  <c r="K87" i="4" s="1"/>
  <c r="K37" i="9" s="1"/>
  <c r="K44" i="4"/>
  <c r="I45" i="4"/>
  <c r="J96" i="4"/>
  <c r="I99" i="4"/>
  <c r="I15" i="4" s="1"/>
  <c r="I20" i="4" s="1"/>
  <c r="L64" i="4"/>
  <c r="K91" i="4"/>
  <c r="M32" i="4"/>
  <c r="H12" i="4"/>
  <c r="H14" i="4" s="1"/>
  <c r="G12" i="4"/>
  <c r="G14" i="4" s="1"/>
  <c r="F12" i="4"/>
  <c r="F14" i="4" s="1"/>
  <c r="F20" i="4" s="1"/>
  <c r="F23" i="4" s="1"/>
  <c r="F25" i="4" s="1"/>
  <c r="F27" i="4" s="1"/>
  <c r="E12" i="4"/>
  <c r="E14" i="4" s="1"/>
  <c r="D14" i="4"/>
  <c r="D28" i="2"/>
  <c r="D27" i="2"/>
  <c r="D26" i="2"/>
  <c r="D25" i="2"/>
  <c r="D24" i="2"/>
  <c r="D23" i="2"/>
  <c r="D22" i="2"/>
  <c r="D21" i="2"/>
  <c r="D20" i="2"/>
  <c r="D19" i="2"/>
  <c r="D18" i="2"/>
  <c r="D17" i="2"/>
  <c r="D16" i="2"/>
  <c r="D15" i="2"/>
  <c r="D14" i="2"/>
  <c r="D13" i="2"/>
  <c r="D12" i="2"/>
  <c r="D11" i="2"/>
  <c r="D10" i="2"/>
  <c r="D9" i="2"/>
  <c r="D8" i="2"/>
  <c r="D7" i="2"/>
  <c r="D6" i="2"/>
  <c r="D5" i="2"/>
  <c r="D4" i="2"/>
  <c r="D3" i="2"/>
  <c r="G151" i="1"/>
  <c r="G152" i="1" s="1"/>
  <c r="F151" i="1"/>
  <c r="F152" i="1" s="1"/>
  <c r="E151" i="1"/>
  <c r="E152" i="1" s="1"/>
  <c r="D151" i="1"/>
  <c r="D152" i="1" s="1"/>
  <c r="C151" i="1"/>
  <c r="C152" i="1" s="1"/>
  <c r="G137" i="1"/>
  <c r="F137" i="1"/>
  <c r="E137" i="1"/>
  <c r="D137" i="1"/>
  <c r="C137" i="1"/>
  <c r="G123" i="1"/>
  <c r="G125" i="1" s="1"/>
  <c r="F123" i="1"/>
  <c r="F125" i="1" s="1"/>
  <c r="E123" i="1"/>
  <c r="E125" i="1" s="1"/>
  <c r="D123" i="1"/>
  <c r="D125" i="1" s="1"/>
  <c r="C123" i="1"/>
  <c r="C125" i="1" s="1"/>
  <c r="G115" i="1"/>
  <c r="G117" i="1" s="1"/>
  <c r="F115" i="1"/>
  <c r="F117" i="1" s="1"/>
  <c r="F149" i="1" s="1"/>
  <c r="F150" i="1" s="1"/>
  <c r="E115" i="1"/>
  <c r="E117" i="1" s="1"/>
  <c r="D115" i="1"/>
  <c r="D117" i="1" s="1"/>
  <c r="D149" i="1" s="1"/>
  <c r="D150" i="1" s="1"/>
  <c r="C117" i="1"/>
  <c r="G90" i="1"/>
  <c r="G92" i="1" s="1"/>
  <c r="F90" i="1"/>
  <c r="F92" i="1" s="1"/>
  <c r="E90" i="1"/>
  <c r="E92" i="1" s="1"/>
  <c r="D90" i="1"/>
  <c r="D92" i="1" s="1"/>
  <c r="C90" i="1"/>
  <c r="C92" i="1" s="1"/>
  <c r="G74" i="1"/>
  <c r="G84" i="1" s="1"/>
  <c r="F74" i="1"/>
  <c r="F84" i="1" s="1"/>
  <c r="F93" i="1" s="1"/>
  <c r="E74" i="1"/>
  <c r="E84" i="1" s="1"/>
  <c r="D74" i="1"/>
  <c r="D84" i="1" s="1"/>
  <c r="C74" i="1"/>
  <c r="C84" i="1" s="1"/>
  <c r="G56" i="1"/>
  <c r="G65" i="1" s="1"/>
  <c r="F56" i="1"/>
  <c r="F65" i="1" s="1"/>
  <c r="E56" i="1"/>
  <c r="E65" i="1" s="1"/>
  <c r="D56" i="1"/>
  <c r="D65" i="1" s="1"/>
  <c r="C56" i="1"/>
  <c r="C65" i="1" s="1"/>
  <c r="G26" i="1"/>
  <c r="G28" i="1" s="1"/>
  <c r="F26" i="1"/>
  <c r="F28" i="1" s="1"/>
  <c r="F35" i="1" s="1"/>
  <c r="E26" i="1"/>
  <c r="E28" i="1" s="1"/>
  <c r="D26" i="1"/>
  <c r="D28" i="1" s="1"/>
  <c r="C26" i="1"/>
  <c r="C28" i="1" s="1"/>
  <c r="G5" i="1"/>
  <c r="F5" i="1"/>
  <c r="E5" i="1"/>
  <c r="D5" i="1"/>
  <c r="D93" i="1" l="1"/>
  <c r="N15" i="9"/>
  <c r="N12" i="9"/>
  <c r="N13" i="9" s="1"/>
  <c r="N16" i="9" s="1"/>
  <c r="N32" i="9" s="1"/>
  <c r="N34" i="9" s="1"/>
  <c r="L13" i="9"/>
  <c r="L16" i="9" s="1"/>
  <c r="L6" i="9"/>
  <c r="L85" i="4"/>
  <c r="L86" i="4" s="1"/>
  <c r="L87" i="4" s="1"/>
  <c r="L37" i="9" s="1"/>
  <c r="L44" i="4"/>
  <c r="M44" i="4"/>
  <c r="M12" i="9"/>
  <c r="M12" i="4"/>
  <c r="M14" i="4" s="1"/>
  <c r="M33" i="4"/>
  <c r="M84" i="4" s="1"/>
  <c r="J20" i="10"/>
  <c r="J21" i="10" s="1"/>
  <c r="K19" i="9"/>
  <c r="K32" i="9"/>
  <c r="K34" i="9" s="1"/>
  <c r="J26" i="10" s="1"/>
  <c r="N35" i="9"/>
  <c r="L66" i="4"/>
  <c r="L36" i="9"/>
  <c r="K28" i="10" s="1"/>
  <c r="I47" i="4"/>
  <c r="D72" i="9"/>
  <c r="F38" i="1"/>
  <c r="F40" i="1" s="1"/>
  <c r="F42" i="1" s="1"/>
  <c r="F43" i="1" s="1"/>
  <c r="F14" i="1"/>
  <c r="I46" i="9"/>
  <c r="I51" i="9" s="1"/>
  <c r="H31" i="10"/>
  <c r="J29" i="10"/>
  <c r="I29" i="10"/>
  <c r="J38" i="9"/>
  <c r="I21" i="4"/>
  <c r="I22" i="9" s="1"/>
  <c r="H23" i="10" s="1"/>
  <c r="H24" i="10" s="1"/>
  <c r="M83" i="4"/>
  <c r="J98" i="4"/>
  <c r="M64" i="4"/>
  <c r="M36" i="9" s="1"/>
  <c r="L28" i="10" s="1"/>
  <c r="L91" i="4"/>
  <c r="C93" i="1"/>
  <c r="G93" i="1"/>
  <c r="G94" i="1" s="1"/>
  <c r="D94" i="1"/>
  <c r="F94" i="1"/>
  <c r="E20" i="4"/>
  <c r="E23" i="4" s="1"/>
  <c r="E25" i="4" s="1"/>
  <c r="E27" i="4" s="1"/>
  <c r="D20" i="4"/>
  <c r="D23" i="4" s="1"/>
  <c r="D25" i="4" s="1"/>
  <c r="D27" i="4" s="1"/>
  <c r="H20" i="4"/>
  <c r="H23" i="4" s="1"/>
  <c r="H25" i="4" s="1"/>
  <c r="H27" i="4" s="1"/>
  <c r="G20" i="4"/>
  <c r="G23" i="4" s="1"/>
  <c r="G25" i="4" s="1"/>
  <c r="G27" i="4" s="1"/>
  <c r="C147" i="1"/>
  <c r="C148" i="1" s="1"/>
  <c r="C35" i="1"/>
  <c r="C29" i="1"/>
  <c r="G147" i="1"/>
  <c r="G148" i="1" s="1"/>
  <c r="G35" i="1"/>
  <c r="G29" i="1"/>
  <c r="D29" i="1"/>
  <c r="D147" i="1"/>
  <c r="D35" i="1"/>
  <c r="E147" i="1"/>
  <c r="E35" i="1"/>
  <c r="E29" i="1"/>
  <c r="C94" i="1"/>
  <c r="E149" i="1"/>
  <c r="E150" i="1" s="1"/>
  <c r="E139" i="1"/>
  <c r="E143" i="1" s="1"/>
  <c r="E93" i="1"/>
  <c r="E94" i="1" s="1"/>
  <c r="C149" i="1"/>
  <c r="C150" i="1" s="1"/>
  <c r="C139" i="1"/>
  <c r="C143" i="1" s="1"/>
  <c r="G149" i="1"/>
  <c r="G150" i="1" s="1"/>
  <c r="G139" i="1"/>
  <c r="G143" i="1" s="1"/>
  <c r="F139" i="1"/>
  <c r="F143" i="1" s="1"/>
  <c r="F29" i="1"/>
  <c r="D139" i="1"/>
  <c r="D143" i="1" s="1"/>
  <c r="F147" i="1"/>
  <c r="F148" i="1" s="1"/>
  <c r="K38" i="9" l="1"/>
  <c r="K46" i="9" s="1"/>
  <c r="K51" i="9" s="1"/>
  <c r="K53" i="9" s="1"/>
  <c r="N38" i="9"/>
  <c r="N46" i="9" s="1"/>
  <c r="N51" i="9" s="1"/>
  <c r="N19" i="9"/>
  <c r="M86" i="4"/>
  <c r="M87" i="4" s="1"/>
  <c r="M37" i="9" s="1"/>
  <c r="L29" i="10" s="1"/>
  <c r="M13" i="9"/>
  <c r="M16" i="9" s="1"/>
  <c r="M6" i="9"/>
  <c r="N22" i="9"/>
  <c r="N47" i="9"/>
  <c r="L19" i="9"/>
  <c r="K20" i="10"/>
  <c r="K21" i="10" s="1"/>
  <c r="L32" i="9"/>
  <c r="L34" i="9" s="1"/>
  <c r="K26" i="10" s="1"/>
  <c r="D83" i="9"/>
  <c r="D86" i="9" s="1"/>
  <c r="D74" i="9"/>
  <c r="C38" i="1"/>
  <c r="C40" i="1" s="1"/>
  <c r="C42" i="1" s="1"/>
  <c r="C43" i="1" s="1"/>
  <c r="C14" i="1"/>
  <c r="J46" i="9"/>
  <c r="J51" i="9" s="1"/>
  <c r="J53" i="9" s="1"/>
  <c r="I31" i="10"/>
  <c r="G38" i="1"/>
  <c r="G40" i="1" s="1"/>
  <c r="G42" i="1" s="1"/>
  <c r="G43" i="1" s="1"/>
  <c r="G14" i="1"/>
  <c r="I53" i="9"/>
  <c r="D38" i="1"/>
  <c r="D40" i="1" s="1"/>
  <c r="D42" i="1" s="1"/>
  <c r="D43" i="1" s="1"/>
  <c r="D14" i="1"/>
  <c r="K29" i="10"/>
  <c r="E38" i="1"/>
  <c r="E40" i="1" s="1"/>
  <c r="E42" i="1" s="1"/>
  <c r="E43" i="1" s="1"/>
  <c r="E14" i="1"/>
  <c r="I23" i="4"/>
  <c r="I25" i="4" s="1"/>
  <c r="M91" i="4"/>
  <c r="M66" i="4"/>
  <c r="K96" i="4"/>
  <c r="J45" i="4"/>
  <c r="J47" i="4" s="1"/>
  <c r="J99" i="4"/>
  <c r="J15" i="4" s="1"/>
  <c r="J20" i="4" s="1"/>
  <c r="C153" i="1"/>
  <c r="G153" i="1"/>
  <c r="F153" i="1"/>
  <c r="E153" i="1"/>
  <c r="E148" i="1"/>
  <c r="D153" i="1"/>
  <c r="D148" i="1"/>
  <c r="D93" i="4"/>
  <c r="E90" i="4" s="1"/>
  <c r="E93" i="4" s="1"/>
  <c r="F90" i="4" s="1"/>
  <c r="F93" i="4" s="1"/>
  <c r="G90" i="4" s="1"/>
  <c r="G93" i="4" s="1"/>
  <c r="H93" i="4" s="1"/>
  <c r="I90" i="4" s="1"/>
  <c r="I93" i="4" s="1"/>
  <c r="J31" i="10" l="1"/>
  <c r="L38" i="9"/>
  <c r="L46" i="9" s="1"/>
  <c r="L51" i="9" s="1"/>
  <c r="L53" i="9" s="1"/>
  <c r="L20" i="10"/>
  <c r="L21" i="10" s="1"/>
  <c r="M19" i="9"/>
  <c r="M32" i="9"/>
  <c r="M34" i="9" s="1"/>
  <c r="D81" i="9"/>
  <c r="D87" i="9"/>
  <c r="I58" i="4"/>
  <c r="I61" i="4" s="1"/>
  <c r="I74" i="4" s="1"/>
  <c r="I77" i="4" s="1"/>
  <c r="I31" i="4" s="1"/>
  <c r="I35" i="4" s="1"/>
  <c r="I27" i="4"/>
  <c r="I50" i="4" s="1"/>
  <c r="I52" i="4" s="1"/>
  <c r="I53" i="4" s="1"/>
  <c r="J21" i="4"/>
  <c r="J22" i="9" s="1"/>
  <c r="I23" i="10" s="1"/>
  <c r="I24" i="10" s="1"/>
  <c r="J90" i="4"/>
  <c r="J93" i="4" s="1"/>
  <c r="I36" i="4"/>
  <c r="K98" i="4"/>
  <c r="K31" i="10" l="1"/>
  <c r="L26" i="10"/>
  <c r="M38" i="9"/>
  <c r="J75" i="4"/>
  <c r="D61" i="9"/>
  <c r="I78" i="4"/>
  <c r="J23" i="4"/>
  <c r="J25" i="4" s="1"/>
  <c r="I38" i="4"/>
  <c r="K90" i="4"/>
  <c r="K93" i="4" s="1"/>
  <c r="J36" i="4"/>
  <c r="L96" i="4"/>
  <c r="K45" i="4"/>
  <c r="K47" i="4" s="1"/>
  <c r="K99" i="4"/>
  <c r="K15" i="4" s="1"/>
  <c r="K20" i="4" s="1"/>
  <c r="L31" i="10" l="1"/>
  <c r="M46" i="9"/>
  <c r="M51" i="9" s="1"/>
  <c r="M53" i="9" s="1"/>
  <c r="N52" i="9"/>
  <c r="N53" i="9" s="1"/>
  <c r="D10" i="10"/>
  <c r="K21" i="4"/>
  <c r="K22" i="9" s="1"/>
  <c r="J23" i="10" s="1"/>
  <c r="J24" i="10" s="1"/>
  <c r="J58" i="4"/>
  <c r="J61" i="4" s="1"/>
  <c r="J74" i="4" s="1"/>
  <c r="J77" i="4" s="1"/>
  <c r="J31" i="4" s="1"/>
  <c r="J35" i="4" s="1"/>
  <c r="J38" i="4" s="1"/>
  <c r="J27" i="4"/>
  <c r="J50" i="4" s="1"/>
  <c r="J52" i="4" s="1"/>
  <c r="J53" i="4" s="1"/>
  <c r="I54" i="4"/>
  <c r="L90" i="4"/>
  <c r="L93" i="4" s="1"/>
  <c r="K36" i="4"/>
  <c r="L98" i="4"/>
  <c r="L99" i="4" s="1"/>
  <c r="L15" i="4" s="1"/>
  <c r="L20" i="4" s="1"/>
  <c r="I58" i="9" l="1"/>
  <c r="I59" i="9"/>
  <c r="D12" i="10" s="1"/>
  <c r="H33" i="10"/>
  <c r="I33" i="10"/>
  <c r="J33" i="10"/>
  <c r="K33" i="10"/>
  <c r="L33" i="10"/>
  <c r="J78" i="4"/>
  <c r="L21" i="4"/>
  <c r="L22" i="9" s="1"/>
  <c r="K23" i="10" s="1"/>
  <c r="K24" i="10" s="1"/>
  <c r="K75" i="4"/>
  <c r="K23" i="4"/>
  <c r="K25" i="4" s="1"/>
  <c r="J54" i="4"/>
  <c r="M90" i="4"/>
  <c r="M93" i="4" s="1"/>
  <c r="M36" i="4" s="1"/>
  <c r="L36" i="4"/>
  <c r="M96" i="4"/>
  <c r="L45" i="4"/>
  <c r="L47" i="4" s="1"/>
  <c r="I60" i="9" l="1"/>
  <c r="I72" i="9" s="1"/>
  <c r="I74" i="9" s="1"/>
  <c r="N58" i="9" s="1"/>
  <c r="N60" i="9" s="1"/>
  <c r="G6" i="10" s="1"/>
  <c r="G5" i="10" s="1"/>
  <c r="L23" i="4"/>
  <c r="L25" i="4" s="1"/>
  <c r="L58" i="4" s="1"/>
  <c r="L61" i="4" s="1"/>
  <c r="L74" i="4" s="1"/>
  <c r="L35" i="10"/>
  <c r="K58" i="4"/>
  <c r="K61" i="4" s="1"/>
  <c r="K74" i="4" s="1"/>
  <c r="K77" i="4" s="1"/>
  <c r="K31" i="4" s="1"/>
  <c r="K35" i="4" s="1"/>
  <c r="K38" i="4" s="1"/>
  <c r="K27" i="4"/>
  <c r="K50" i="4" s="1"/>
  <c r="K52" i="4" s="1"/>
  <c r="K53" i="4" s="1"/>
  <c r="M98" i="4"/>
  <c r="M45" i="4" s="1"/>
  <c r="M47" i="4" s="1"/>
  <c r="D13" i="10" l="1"/>
  <c r="L27" i="4"/>
  <c r="L50" i="4" s="1"/>
  <c r="L52" i="4" s="1"/>
  <c r="L53" i="4" s="1"/>
  <c r="K78" i="4"/>
  <c r="L75" i="4"/>
  <c r="L77" i="4" s="1"/>
  <c r="L31" i="4" s="1"/>
  <c r="L35" i="4" s="1"/>
  <c r="L38" i="4" s="1"/>
  <c r="K54" i="4"/>
  <c r="M99" i="4"/>
  <c r="M15" i="4" s="1"/>
  <c r="M20" i="4" s="1"/>
  <c r="M21" i="4" l="1"/>
  <c r="M22" i="9" s="1"/>
  <c r="L23" i="10" s="1"/>
  <c r="L24" i="10" s="1"/>
  <c r="M75" i="4"/>
  <c r="L54" i="4"/>
  <c r="L78" i="4"/>
  <c r="M23" i="4" l="1"/>
  <c r="M25" i="4" s="1"/>
  <c r="M58" i="4" s="1"/>
  <c r="M61" i="4" s="1"/>
  <c r="M74" i="4" s="1"/>
  <c r="M77" i="4" s="1"/>
  <c r="M31" i="4" s="1"/>
  <c r="M35" i="4" s="1"/>
  <c r="M38" i="4" s="1"/>
  <c r="M27" i="4" l="1"/>
  <c r="M50" i="4" s="1"/>
  <c r="M52" i="4" s="1"/>
  <c r="M53" i="4" s="1"/>
  <c r="M54" i="4" s="1"/>
  <c r="M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96" authorId="0" shapeId="0" xr:uid="{90E44767-EBF6-614D-BE1D-2D778B0D1804}">
      <text>
        <r>
          <rPr>
            <sz val="11"/>
            <color rgb="FF000000"/>
            <rFont val="Calibri"/>
            <family val="2"/>
          </rPr>
          <t xml:space="preserve">======
</t>
        </r>
        <r>
          <rPr>
            <sz val="11"/>
            <color rgb="FF000000"/>
            <rFont val="Calibri"/>
            <family val="2"/>
          </rPr>
          <t xml:space="preserve">ID#AAAAqQiQ8JM
</t>
        </r>
        <r>
          <rPr>
            <sz val="11"/>
            <color rgb="FF000000"/>
            <rFont val="Calibri"/>
            <family val="2"/>
          </rPr>
          <t xml:space="preserve">CFI    (2023-02-13 21:11:43)
</t>
        </r>
        <r>
          <rPr>
            <sz val="11"/>
            <color rgb="FF000000"/>
            <rFont val="Calibri"/>
            <family val="2"/>
          </rPr>
          <t>We are using term debt/bond in this example so there's no compounding interest. To learn more about revolver and compound interest, take our LBO modeling course.</t>
        </r>
      </text>
    </comment>
  </commentList>
</comments>
</file>

<file path=xl/sharedStrings.xml><?xml version="1.0" encoding="utf-8"?>
<sst xmlns="http://schemas.openxmlformats.org/spreadsheetml/2006/main" count="516" uniqueCount="387">
  <si>
    <t>Paramount – Historical Three-Statement Model</t>
  </si>
  <si>
    <t>USD in millions, except per-share data. 2025 combines reported predecessor and successor periods; the 2025 balance sheet is Successor.</t>
  </si>
  <si>
    <t>2021A</t>
  </si>
  <si>
    <t>2022A</t>
  </si>
  <si>
    <t>2023A</t>
  </si>
  <si>
    <t>2024A</t>
  </si>
  <si>
    <t>2025A*</t>
  </si>
  <si>
    <t>Income Statement</t>
  </si>
  <si>
    <t>Revenues</t>
  </si>
  <si>
    <t>Revenue growth</t>
  </si>
  <si>
    <t>Operating expenses</t>
  </si>
  <si>
    <t>Programming charges</t>
  </si>
  <si>
    <t>Selling, general and administrative</t>
  </si>
  <si>
    <t>Depreciation and amortization</t>
  </si>
  <si>
    <t>Impairment charges</t>
  </si>
  <si>
    <t>Restructuring, transaction-related and other corporate matters</t>
  </si>
  <si>
    <t>Total costs and expenses</t>
  </si>
  <si>
    <t>Gain on dispositions</t>
  </si>
  <si>
    <t>Operating income (loss)</t>
  </si>
  <si>
    <t>Operating margin</t>
  </si>
  <si>
    <t>Interest expense</t>
  </si>
  <si>
    <t>Interest income</t>
  </si>
  <si>
    <t>Gain (loss) from investments</t>
  </si>
  <si>
    <t>Gain (loss) on extinguishment of debt</t>
  </si>
  <si>
    <t>Other items, net</t>
  </si>
  <si>
    <t>Pretax income (loss)</t>
  </si>
  <si>
    <t>Benefit from (provision for) income taxes</t>
  </si>
  <si>
    <t>Equity in loss of investee companies, net of tax</t>
  </si>
  <si>
    <t>Net earnings (loss) from continuing operations</t>
  </si>
  <si>
    <t>Net earnings from discontinued operations, net of tax</t>
  </si>
  <si>
    <t>Net earnings (loss) – Parent and NCI</t>
  </si>
  <si>
    <t>Net earnings attributable to noncontrolling interests</t>
  </si>
  <si>
    <t>Net earnings (loss) attributable to Parent</t>
  </si>
  <si>
    <t>Net margin</t>
  </si>
  <si>
    <t>Basic EPS</t>
  </si>
  <si>
    <t>Diluted EPS</t>
  </si>
  <si>
    <t>Basic weighted-average shares</t>
  </si>
  <si>
    <t>Diluted weighted-average shares</t>
  </si>
  <si>
    <t>Balance Sheet</t>
  </si>
  <si>
    <t>Cash and cash equivalents</t>
  </si>
  <si>
    <t>Receivables, net</t>
  </si>
  <si>
    <t>Programming and other inventory – current</t>
  </si>
  <si>
    <t>Prepaid expenses and other current assets</t>
  </si>
  <si>
    <t>Current assets of discontinued operations</t>
  </si>
  <si>
    <t>Total current assets</t>
  </si>
  <si>
    <t>Property and equipment, net</t>
  </si>
  <si>
    <t>Programming and other inventory – non-current</t>
  </si>
  <si>
    <t>Goodwill</t>
  </si>
  <si>
    <t>Intangible assets, net</t>
  </si>
  <si>
    <t>Operating lease assets</t>
  </si>
  <si>
    <t>Deferred income tax assets, net</t>
  </si>
  <si>
    <t>Other assets</t>
  </si>
  <si>
    <t>Assets held for sale / discontinued operations</t>
  </si>
  <si>
    <t>Total assets</t>
  </si>
  <si>
    <t>Accounts payable</t>
  </si>
  <si>
    <t>Accrued expenses</t>
  </si>
  <si>
    <t>Participants' share and royalties payable – current</t>
  </si>
  <si>
    <t>Accrued programming and production costs</t>
  </si>
  <si>
    <t>Deferred revenues</t>
  </si>
  <si>
    <t>Current debt</t>
  </si>
  <si>
    <t>Other current liabilities</t>
  </si>
  <si>
    <t>Current liabilities of discontinued operations</t>
  </si>
  <si>
    <t>Total current liabilities</t>
  </si>
  <si>
    <t>Long-term debt</t>
  </si>
  <si>
    <t>Participants' share and royalties payable – non-current</t>
  </si>
  <si>
    <t>Pension and postretirement benefit obligations</t>
  </si>
  <si>
    <t>Deferred income tax liabilities, net</t>
  </si>
  <si>
    <t>Operating lease liabilities</t>
  </si>
  <si>
    <t>Programming obligations</t>
  </si>
  <si>
    <t>Other liabilities</t>
  </si>
  <si>
    <t>Liabilities of discontinued operations</t>
  </si>
  <si>
    <t>Redeemable noncontrolling interest</t>
  </si>
  <si>
    <t>Total liabilities</t>
  </si>
  <si>
    <t>Common stock</t>
  </si>
  <si>
    <t>Additional paid-in capital</t>
  </si>
  <si>
    <t>Treasury stock</t>
  </si>
  <si>
    <t>Retained earnings (accumulated deficit)</t>
  </si>
  <si>
    <t>Accumulated other comprehensive income (loss)</t>
  </si>
  <si>
    <t>Total Parent stockholders' equity</t>
  </si>
  <si>
    <t>Noncontrolling interests</t>
  </si>
  <si>
    <t>Total equity</t>
  </si>
  <si>
    <t>Total liabilities and equity</t>
  </si>
  <si>
    <t>Balance sheet check</t>
  </si>
  <si>
    <t>Cash Flow Statement</t>
  </si>
  <si>
    <t>Net earnings (loss) – continuing operations</t>
  </si>
  <si>
    <t>Amortization of content costs and participation and residuals</t>
  </si>
  <si>
    <t>Deferred tax benefit (provision)</t>
  </si>
  <si>
    <t>Stock-based compensation</t>
  </si>
  <si>
    <t>(Gain) loss from investments</t>
  </si>
  <si>
    <t>(Gain) loss on extinguishment of debt</t>
  </si>
  <si>
    <t>Equity in loss of investee companies, net of tax and distributions</t>
  </si>
  <si>
    <t>Change in receivables</t>
  </si>
  <si>
    <t>Change in inventory and related liabilities</t>
  </si>
  <si>
    <t>Change in accounts payable and other liabilities</t>
  </si>
  <si>
    <t>Change in pension and postretirement obligations</t>
  </si>
  <si>
    <t>Change in income taxes</t>
  </si>
  <si>
    <t>Other operating items, net</t>
  </si>
  <si>
    <t>Operating cash flow – continuing operations</t>
  </si>
  <si>
    <t>Operating cash flow – discontinued operations</t>
  </si>
  <si>
    <t>Net cash flow provided by operating activities</t>
  </si>
  <si>
    <t>Investments</t>
  </si>
  <si>
    <t>Capital expenditures</t>
  </si>
  <si>
    <t>Acquisitions, net of cash acquired</t>
  </si>
  <si>
    <t>Proceeds from dispositions</t>
  </si>
  <si>
    <t>Other investing activities</t>
  </si>
  <si>
    <t>Investing cash flow – continuing operations</t>
  </si>
  <si>
    <t>Investing cash flow – discontinued operations</t>
  </si>
  <si>
    <t>Net cash flow provided by (used for) investing activities</t>
  </si>
  <si>
    <t>Proceeds from issuance of debt</t>
  </si>
  <si>
    <t>Repayment of debt</t>
  </si>
  <si>
    <t>Repayment of Skydance credit facility</t>
  </si>
  <si>
    <t>Dividends paid on preferred stock</t>
  </si>
  <si>
    <t>Dividends paid on common stock</t>
  </si>
  <si>
    <t>Proceeds from issuance of preferred stock</t>
  </si>
  <si>
    <t>Proceeds from issuance of common stock</t>
  </si>
  <si>
    <t>Payment of payroll taxes for stock-based compensation</t>
  </si>
  <si>
    <t>Proceeds from exercise of stock options</t>
  </si>
  <si>
    <t>Payments to noncontrolling interests</t>
  </si>
  <si>
    <t>Other financing activities</t>
  </si>
  <si>
    <t>Net cash flow used for financing activities</t>
  </si>
  <si>
    <t>Effect of exchange rate changes</t>
  </si>
  <si>
    <t>Net increase (decrease) in cash before merger reset</t>
  </si>
  <si>
    <t>Cash at beginning of year</t>
  </si>
  <si>
    <t>Merger / purchase accounting cash reset</t>
  </si>
  <si>
    <t>Cash at end of year</t>
  </si>
  <si>
    <t>Cash flow check</t>
  </si>
  <si>
    <t>Historical Calculations</t>
  </si>
  <si>
    <t>EBITDA</t>
  </si>
  <si>
    <t>EBITDA margin</t>
  </si>
  <si>
    <t>Free cash flow</t>
  </si>
  <si>
    <t>FCF margin</t>
  </si>
  <si>
    <t>Total debt</t>
  </si>
  <si>
    <t>Net debt</t>
  </si>
  <si>
    <t>Net debt / EBITDA</t>
  </si>
  <si>
    <t>2025 Reported Predecessor / Successor Bridge</t>
  </si>
  <si>
    <t>USD in millions</t>
  </si>
  <si>
    <t>Predecessor
Jan 1–Aug 6</t>
  </si>
  <si>
    <t>Successor
Aug 7–Dec 31</t>
  </si>
  <si>
    <t>Combined 2025</t>
  </si>
  <si>
    <t>Benefit from income taxes</t>
  </si>
  <si>
    <t>Equity in loss of investee companies</t>
  </si>
  <si>
    <t>Net loss attributable to Parent</t>
  </si>
  <si>
    <t>Operating cash flow</t>
  </si>
  <si>
    <t>Investing cash flow</t>
  </si>
  <si>
    <t>Financing cash flow</t>
  </si>
  <si>
    <t>FX effect</t>
  </si>
  <si>
    <t>Net change in cash</t>
  </si>
  <si>
    <t>Beginning cash</t>
  </si>
  <si>
    <t>Ending cash</t>
  </si>
  <si>
    <t>Important: 2025 earnings and cash-flow figures combine two separately reported accounting periods. The Successor applied purchase accounting at 7 August 2025, so 2025 is not directly comparable with prior years. EPS and weighted-average shares are not combined because the capital structure changed.</t>
  </si>
  <si>
    <t>Period</t>
  </si>
  <si>
    <t>Source</t>
  </si>
  <si>
    <t>Use</t>
  </si>
  <si>
    <t>URL</t>
  </si>
  <si>
    <t>2021</t>
  </si>
  <si>
    <t>Paramount/ViacomCBS 2021 Form 10-K</t>
  </si>
  <si>
    <t>2021 income statement, balance sheet and cash flow statement</t>
  </si>
  <si>
    <t>https://ir.paramount.com/static-files/357c6440-f534-480a-b0ac-abb13963f070</t>
  </si>
  <si>
    <t>2022–2023</t>
  </si>
  <si>
    <t>Paramount Global 2023 Form 10-K</t>
  </si>
  <si>
    <t>2022–2023 financial statements and comparative cash flows</t>
  </si>
  <si>
    <t>https://ir.paramount.com/static-files/0f0d231a-8c49-4907-8846-7965c83591da</t>
  </si>
  <si>
    <t>2024</t>
  </si>
  <si>
    <t>Paramount Skydance 2025 Form 10-K – Predecessor comparatives</t>
  </si>
  <si>
    <t>2024 income statement, balance sheet and cash flow statement</t>
  </si>
  <si>
    <t>https://ir.paramount.com/static-files/9c0a5060-140f-4b5e-ac22-e7f89e6de398</t>
  </si>
  <si>
    <t>2025</t>
  </si>
  <si>
    <t>Paramount Skydance 2025 Form 10-K</t>
  </si>
  <si>
    <t>Predecessor and Successor periods; combined for model flow statements</t>
  </si>
  <si>
    <t>Revenue</t>
  </si>
  <si>
    <t>Cash</t>
  </si>
  <si>
    <t xml:space="preserve">Accounts Receivable </t>
  </si>
  <si>
    <t>Inventory</t>
  </si>
  <si>
    <t>Other current assets</t>
  </si>
  <si>
    <t xml:space="preserve">Property Plant Equipment </t>
  </si>
  <si>
    <t>Total Assets</t>
  </si>
  <si>
    <t>Liabilities</t>
  </si>
  <si>
    <t>Accounts Payable</t>
  </si>
  <si>
    <t>Total Liabilities</t>
  </si>
  <si>
    <t>Shareholders Equity</t>
  </si>
  <si>
    <t>Equity Capital</t>
  </si>
  <si>
    <t xml:space="preserve">Retained Earnings </t>
  </si>
  <si>
    <t>Total Liabilities and Equities</t>
  </si>
  <si>
    <t>Other non-current assets</t>
  </si>
  <si>
    <t>Total Current Liabilities</t>
  </si>
  <si>
    <t>Other non-current liabilities</t>
  </si>
  <si>
    <t>Balance Check</t>
  </si>
  <si>
    <t>Historical Period</t>
  </si>
  <si>
    <t>Forecast Period</t>
  </si>
  <si>
    <t>Cash Flow</t>
  </si>
  <si>
    <t>Net Earnings</t>
  </si>
  <si>
    <t>Other operating cash flow</t>
  </si>
  <si>
    <t>Cash from Operations</t>
  </si>
  <si>
    <t>Investing Cash Flow</t>
  </si>
  <si>
    <t>Investment in Property &amp; Equipment</t>
  </si>
  <si>
    <t xml:space="preserve">Cash from Investing </t>
  </si>
  <si>
    <t>Financing Cash Flow</t>
  </si>
  <si>
    <t xml:space="preserve">Issuance (repayment) of debt </t>
  </si>
  <si>
    <t xml:space="preserve">Issuance (repayment) of equity </t>
  </si>
  <si>
    <t xml:space="preserve">Cash from Financing </t>
  </si>
  <si>
    <t>Other investing cash flow</t>
  </si>
  <si>
    <t>Other financing cash flow</t>
  </si>
  <si>
    <t>Net Increase (decrease) in Cash</t>
  </si>
  <si>
    <t>Opening Cash Balance</t>
  </si>
  <si>
    <t>Closing Cash Balance</t>
  </si>
  <si>
    <t>Cash balance</t>
  </si>
  <si>
    <t>Supporting Schedule</t>
  </si>
  <si>
    <t>Working Capital Schedule</t>
  </si>
  <si>
    <t>Accounts Receivable</t>
  </si>
  <si>
    <t>Net Working Capital (NWC)</t>
  </si>
  <si>
    <t>Change in NWC</t>
  </si>
  <si>
    <t>Depreciation Schedule</t>
  </si>
  <si>
    <t>PPE Opening</t>
  </si>
  <si>
    <t>Plus Capex</t>
  </si>
  <si>
    <t>Less Depreciation</t>
  </si>
  <si>
    <t>PPE Closing</t>
  </si>
  <si>
    <t>Debt &amp; Interest Schedule</t>
  </si>
  <si>
    <t>Debt Opening</t>
  </si>
  <si>
    <t>Issuance (repayment)</t>
  </si>
  <si>
    <t>Debt Closing</t>
  </si>
  <si>
    <t>Interest Expense</t>
  </si>
  <si>
    <t>Assumptions</t>
  </si>
  <si>
    <t>Rationale</t>
  </si>
  <si>
    <t>TV Media</t>
  </si>
  <si>
    <t>Streaming</t>
  </si>
  <si>
    <t>Film &amp; TV Production</t>
  </si>
  <si>
    <t xml:space="preserve">To experience a steady decline as the whole sector is experiencing a linear cord-cutting process for TV Media, reducing the legacy of paid TV. </t>
  </si>
  <si>
    <t xml:space="preserve">Direct-to-Consumer will continue to be Paramounts primary top-line growth driver driven by pice increases, global tech consolidating and a content injection of $1.5bn investment in increments. Content such as UFC and foundationsal franches such as Star Trek. </t>
  </si>
  <si>
    <t>Following the acquisition of Skydance's IP, Pararmount can expect to experience a major volume expansion long-term. Short-term there may be headwinds due to tough YoY box office comparions, however production is expected to release at least 15 film major releases annually and 40 active TV shows by 2030</t>
  </si>
  <si>
    <t>Operating Expenses</t>
  </si>
  <si>
    <t>Programming Charges</t>
  </si>
  <si>
    <t xml:space="preserve">Management has commited to an intentional incremental investment to supercharge Star Trek and UFC. Beyond this, management plans to cut down on underperforming, localised international content to keep the rate efficient </t>
  </si>
  <si>
    <t xml:space="preserve">SG&amp;A </t>
  </si>
  <si>
    <t xml:space="preserve">D&amp;A </t>
  </si>
  <si>
    <t xml:space="preserve">Impairement Charges </t>
  </si>
  <si>
    <t>Legacy asset write downs on cable networks and underperforming content libraries in 2024 and 2025. By rebalancing asset values in the Skydance merger, Paramount expect no recurring, non-cash impairments spikes through 2030.</t>
  </si>
  <si>
    <t>Workforce reductions and merger advisory fees are recognised early, we can expect this line will be on a downard trajectory that zeroes out as steady operations take place in 2027 onwards</t>
  </si>
  <si>
    <t>Revenue Growth</t>
  </si>
  <si>
    <t>Operating Expenese Growth (% of Revenue)</t>
  </si>
  <si>
    <t>SGA (% of Revenue)</t>
  </si>
  <si>
    <t>D&amp;A (% of PPE)</t>
  </si>
  <si>
    <t>Interest (% of Debt)</t>
  </si>
  <si>
    <t>Accounts Receivable (Days)</t>
  </si>
  <si>
    <t>Accounts Payable (Days)</t>
  </si>
  <si>
    <t>Inventory (Days)</t>
  </si>
  <si>
    <t>CAPEX</t>
  </si>
  <si>
    <t>Average past 3 years</t>
  </si>
  <si>
    <t xml:space="preserve">Management is containing their physical infrastructure CAPEX growth to protect FCF and focus on debt reduction following the Warner Bros debt discovery </t>
  </si>
  <si>
    <t>Depreciation</t>
  </si>
  <si>
    <t>Flat rate due to the shift in digital architecture which will amortise, Additionally CAPEX will be minimalised to repay debt. Skydance non-cash expenses were driven by Amortisation as they didn’t own large manufacturing factories or heavy machinery and Depreciation was a minor line (around 0.5% of D&amp;A). Assumption that Depreciation is 60%-80% of D&amp;A line prior to merger. Depreciation can be expected to grow at -1% matching managments CAPEX plan</t>
  </si>
  <si>
    <t>4.0% Senior Notes due 2026</t>
  </si>
  <si>
    <t>3.70% (2024) and 3.45% (2023) Senior Notes due 2026</t>
  </si>
  <si>
    <t>2.90% Senior Notes due 2027</t>
  </si>
  <si>
    <t>3.375% Senior Notes due 2028</t>
  </si>
  <si>
    <t>3.70% Senior Notes due 2028</t>
  </si>
  <si>
    <t>4.20% Senior Notes due 2029</t>
  </si>
  <si>
    <t>7.875% Senior Debentures due 2030</t>
  </si>
  <si>
    <t>4.95% Senior Notes due 2031</t>
  </si>
  <si>
    <t>4.20% Senior Notes due 2032</t>
  </si>
  <si>
    <t>5.50% Senior Debentures due 2033</t>
  </si>
  <si>
    <t>4.85% Senior Debentures due 2034</t>
  </si>
  <si>
    <t>6.875% Senior Debentures due 2036</t>
  </si>
  <si>
    <t>6.75% Senior Debentures due 2037</t>
  </si>
  <si>
    <t>5.90% Senior Notes due 2040</t>
  </si>
  <si>
    <t>4.50% Senior Debentures due 2042</t>
  </si>
  <si>
    <t>4.85% Senior Notes due 2042</t>
  </si>
  <si>
    <t>4.375% Senior Debentures due 2043</t>
  </si>
  <si>
    <t>4.875% Senior Debentures due 2043</t>
  </si>
  <si>
    <t>5.85% Senior Debentures due 2043</t>
  </si>
  <si>
    <t>5.25% Senior Debentures due 2044</t>
  </si>
  <si>
    <t>4.90% Senior Notes due 2044</t>
  </si>
  <si>
    <t>4.60% Senior Notes due 2045</t>
  </si>
  <si>
    <t>4.95% Senior Notes due 2050</t>
  </si>
  <si>
    <t>6.25% Junior Subordinated Debentures due 2057</t>
  </si>
  <si>
    <t>6.375% Junior Subordinated Debentures due 2062</t>
  </si>
  <si>
    <t xml:space="preserve">Outstanding as of 2025 </t>
  </si>
  <si>
    <t>Interest</t>
  </si>
  <si>
    <t>Flat rate</t>
  </si>
  <si>
    <t>Management has establisehd a unified quartely dividend rate of $0.05 per hare for both Class A and Class B common shareholders</t>
  </si>
  <si>
    <t>Tax Rate</t>
  </si>
  <si>
    <t xml:space="preserve">Year -2 </t>
  </si>
  <si>
    <t>Year 0</t>
  </si>
  <si>
    <t>Year 1</t>
  </si>
  <si>
    <t>Year 2</t>
  </si>
  <si>
    <t>Year 3</t>
  </si>
  <si>
    <t>Year 4</t>
  </si>
  <si>
    <t>Year 5</t>
  </si>
  <si>
    <t>Term</t>
  </si>
  <si>
    <t>COGS</t>
  </si>
  <si>
    <t>(% of Revenue)</t>
  </si>
  <si>
    <t>Expenses</t>
  </si>
  <si>
    <t>Depreciation Growth</t>
  </si>
  <si>
    <t>Gross Profit</t>
  </si>
  <si>
    <t>Current Tax</t>
  </si>
  <si>
    <t>UNLEVERED FREE CASH FLOW</t>
  </si>
  <si>
    <t>Unlevered Free Cash Flow</t>
  </si>
  <si>
    <t>EBIT</t>
  </si>
  <si>
    <t>NOPAT</t>
  </si>
  <si>
    <t>Capital Expenditure</t>
  </si>
  <si>
    <t>DISCOUNTED CASH FLOW SCHEDULE</t>
  </si>
  <si>
    <t>UNDISCOUNTED CASH FLOW</t>
  </si>
  <si>
    <t>Discrete Forecast</t>
  </si>
  <si>
    <t>Terminal Value</t>
  </si>
  <si>
    <t>Total Cash Flow</t>
  </si>
  <si>
    <t>ASSUMPTIONS</t>
  </si>
  <si>
    <t>ENTERPRISE VALUE</t>
  </si>
  <si>
    <t>EQUITY VALUE PER SHARE</t>
  </si>
  <si>
    <t>First Year of Forecast</t>
  </si>
  <si>
    <t>PV of Discrete</t>
  </si>
  <si>
    <t xml:space="preserve">Equity Value </t>
  </si>
  <si>
    <t>Terminal Multiple</t>
  </si>
  <si>
    <t xml:space="preserve">PV of Terminal </t>
  </si>
  <si>
    <t xml:space="preserve">Shares Outstanding </t>
  </si>
  <si>
    <t>Growth Rate</t>
  </si>
  <si>
    <t>Enterprise Value</t>
  </si>
  <si>
    <t>Instrinsic Value per Share</t>
  </si>
  <si>
    <t>Discount Rate</t>
  </si>
  <si>
    <t>COST OF EQUITY</t>
  </si>
  <si>
    <t>NET DEBT</t>
  </si>
  <si>
    <t>Risk-free rate (US 10y)</t>
  </si>
  <si>
    <t>Short-term debt</t>
  </si>
  <si>
    <t>Beta</t>
  </si>
  <si>
    <t>Market risk premium</t>
  </si>
  <si>
    <t>Cash and cash equivalent</t>
  </si>
  <si>
    <t>CAPM</t>
  </si>
  <si>
    <t>AFTER-TAX COST OF DEBT</t>
  </si>
  <si>
    <t>EQUITY VALUE</t>
  </si>
  <si>
    <t>Interest Rate on Debt</t>
  </si>
  <si>
    <t xml:space="preserve">Less: Net Debt </t>
  </si>
  <si>
    <t>After-tax Cost of Debt</t>
  </si>
  <si>
    <t xml:space="preserve">MARKET VALUE OF EQUITY AND DEBT </t>
  </si>
  <si>
    <t>AVERAGE MATURITY</t>
  </si>
  <si>
    <t xml:space="preserve">Outstanding </t>
  </si>
  <si>
    <t>Maturity</t>
  </si>
  <si>
    <t>YTM</t>
  </si>
  <si>
    <t xml:space="preserve">Market Value of Equity </t>
  </si>
  <si>
    <t>Weight</t>
  </si>
  <si>
    <t xml:space="preserve">Interest Expense </t>
  </si>
  <si>
    <t>Current Cost of Debt</t>
  </si>
  <si>
    <t>Total Debt</t>
  </si>
  <si>
    <r>
      <t>Average Maturity (</t>
    </r>
    <r>
      <rPr>
        <i/>
        <sz val="12"/>
        <color theme="1"/>
        <rFont val="Arial"/>
        <family val="2"/>
      </rPr>
      <t>years)</t>
    </r>
  </si>
  <si>
    <t>Market Value of Debt</t>
  </si>
  <si>
    <t>Total</t>
  </si>
  <si>
    <t>Change in Working Capital</t>
  </si>
  <si>
    <r>
      <t xml:space="preserve">Share price </t>
    </r>
    <r>
      <rPr>
        <i/>
        <sz val="12"/>
        <color theme="1"/>
        <rFont val="Arial"/>
        <family val="2"/>
      </rPr>
      <t>(29/07/26)</t>
    </r>
  </si>
  <si>
    <t>4.0% Senior Notes  2026</t>
  </si>
  <si>
    <t>3.70% Senior Notes due 2026</t>
  </si>
  <si>
    <t>2.90% Senior Notes  2027</t>
  </si>
  <si>
    <t>3.375% Senior Notes  2028</t>
  </si>
  <si>
    <t>3.70% Senior Notes  2028</t>
  </si>
  <si>
    <t>4.20% Senior Notes  2029</t>
  </si>
  <si>
    <t>7.875% Senior Debentures  2030</t>
  </si>
  <si>
    <t>4.95% Senior Notes  2031</t>
  </si>
  <si>
    <t>4.20% Senior Notes 2032</t>
  </si>
  <si>
    <t>5.50% Senior Debentures 2033</t>
  </si>
  <si>
    <t>4.85% Senior Debentures  2034</t>
  </si>
  <si>
    <t>6.875% Senior Debentures 2036</t>
  </si>
  <si>
    <t>6.75% Senior Debentures 2037</t>
  </si>
  <si>
    <t>4.50% Senior Debentures 2042</t>
  </si>
  <si>
    <t>4.375% Senior Debentures 2043</t>
  </si>
  <si>
    <t>4.875% Senior Debentures 2043</t>
  </si>
  <si>
    <t>5.85% Senior Debentures 2043</t>
  </si>
  <si>
    <t>5.25% Senior Debentures 2044</t>
  </si>
  <si>
    <t>6.25% Junior Subordinated 2057</t>
  </si>
  <si>
    <t>6.375% Junior Subordinated 2062</t>
  </si>
  <si>
    <t xml:space="preserve">Paramount Skydance Corporation </t>
  </si>
  <si>
    <t>Ticker</t>
  </si>
  <si>
    <t>PSKY</t>
  </si>
  <si>
    <t xml:space="preserve">Date </t>
  </si>
  <si>
    <t>Implied Share Price</t>
  </si>
  <si>
    <t>Today's Share Price</t>
  </si>
  <si>
    <t>DCF</t>
  </si>
  <si>
    <t>% margin</t>
  </si>
  <si>
    <t>% growth</t>
  </si>
  <si>
    <t xml:space="preserve">Taxes </t>
  </si>
  <si>
    <t>% of EBIT</t>
  </si>
  <si>
    <t>Plus: D&amp;A</t>
  </si>
  <si>
    <t>Less: Capital Expenditure</t>
  </si>
  <si>
    <t>Less: Change in Net Working Capital</t>
  </si>
  <si>
    <t>Total PV of UFCF</t>
  </si>
  <si>
    <t>Present Value (PV) of UFCF</t>
  </si>
  <si>
    <t>Upside</t>
  </si>
  <si>
    <t>Debt</t>
  </si>
  <si>
    <t>SG&amp;A is the target for the cost-saving initative. General overheads will experience structural constraction through 2030. Immediate layoffs in 2026 saving 1.5bn</t>
  </si>
  <si>
    <t>Underlying cot of content creation is expanding as management is shifting away from unprofitable series and reinvesting into core franchise volume, the underlying ost of content is expanding. Additionally, management have set up the infrastructure to better control how Streaming growth rate that even when traffic increases, the growth will be near minimal. $1.2 bn incremental surge expected</t>
  </si>
  <si>
    <t>Depreciation &amp; Amortisation</t>
  </si>
  <si>
    <t>Market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</si>
</sst>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3" formatCode="_(* #,##0.00_);_(* \(#,##0.00\);_(* &quot;-&quot;??_);_(@_)"/>
    <numFmt numFmtId="164" formatCode="#,##0;[Red]\(#,##0\);\-"/>
    <numFmt numFmtId="165" formatCode="0.0%;[Red]\(0.0%\);\-"/>
    <numFmt numFmtId="166" formatCode="\$0.00;[Red]\(\$0.00\);\-"/>
    <numFmt numFmtId="167" formatCode="0.0\x"/>
    <numFmt numFmtId="168" formatCode="_(* #,##0_);_(* \(#,##0\);_(* &quot;-&quot;??_);_(@_)"/>
    <numFmt numFmtId="169" formatCode="0.0%"/>
    <numFmt numFmtId="170" formatCode="[$$-409]#,##0.00"/>
  </numFmts>
  <fonts count="33">
    <font>
      <sz val="11"/>
      <name val="Carlito"/>
    </font>
    <font>
      <b/>
      <sz val="11"/>
      <name val="Carlito"/>
    </font>
    <font>
      <sz val="11"/>
      <color rgb="FF0000FF"/>
      <name val="Carlito"/>
    </font>
    <font>
      <sz val="11"/>
      <color rgb="FF000000"/>
      <name val="Carlito"/>
    </font>
    <font>
      <sz val="10"/>
      <name val="Arial"/>
    </font>
    <font>
      <b/>
      <sz val="10"/>
      <color rgb="FFFFFFFF"/>
      <name val="Arial"/>
    </font>
    <font>
      <sz val="11"/>
      <name val="Carlito"/>
    </font>
    <font>
      <sz val="11"/>
      <name val="Arial"/>
      <family val="2"/>
    </font>
    <font>
      <b/>
      <sz val="11"/>
      <name val="Arial"/>
      <family val="2"/>
    </font>
    <font>
      <sz val="12"/>
      <name val="Arial"/>
      <family val="2"/>
    </font>
    <font>
      <i/>
      <sz val="12"/>
      <color rgb="FF666666"/>
      <name val="Arial"/>
      <family val="2"/>
    </font>
    <font>
      <b/>
      <sz val="12"/>
      <name val="Arial"/>
      <family val="2"/>
    </font>
    <font>
      <sz val="12"/>
      <color rgb="FF0000FF"/>
      <name val="Arial"/>
      <family val="2"/>
    </font>
    <font>
      <sz val="12"/>
      <color rgb="FF000000"/>
      <name val="Arial"/>
      <family val="2"/>
    </font>
    <font>
      <b/>
      <sz val="12"/>
      <color rgb="FF000000"/>
      <name val="Arial"/>
      <family val="2"/>
    </font>
    <font>
      <sz val="12"/>
      <name val="Carlito"/>
    </font>
    <font>
      <sz val="12"/>
      <color theme="1"/>
      <name val="Arial"/>
      <family val="2"/>
    </font>
    <font>
      <i/>
      <sz val="12"/>
      <color theme="1"/>
      <name val="Arial"/>
      <family val="2"/>
    </font>
    <font>
      <sz val="11"/>
      <color rgb="FF000000"/>
      <name val="Calibri"/>
      <family val="2"/>
    </font>
    <font>
      <b/>
      <sz val="16"/>
      <color rgb="FFFFFFFF"/>
      <name val="Arial"/>
      <family val="2"/>
    </font>
    <font>
      <b/>
      <sz val="11"/>
      <color theme="1"/>
      <name val="Arial"/>
      <family val="2"/>
    </font>
    <font>
      <b/>
      <sz val="12"/>
      <color theme="1"/>
      <name val="Arial"/>
      <family val="2"/>
    </font>
    <font>
      <i/>
      <sz val="10"/>
      <color theme="1"/>
      <name val="Arial"/>
      <family val="2"/>
    </font>
    <font>
      <i/>
      <sz val="11"/>
      <color theme="1"/>
      <name val="Arial"/>
      <family val="2"/>
    </font>
    <font>
      <b/>
      <sz val="12"/>
      <color theme="0"/>
      <name val="Arial"/>
      <family val="2"/>
    </font>
    <font>
      <sz val="12"/>
      <color theme="0"/>
      <name val="Arial"/>
      <family val="2"/>
    </font>
    <font>
      <i/>
      <sz val="12"/>
      <color theme="8"/>
      <name val="Arial"/>
      <family val="2"/>
    </font>
    <font>
      <sz val="12"/>
      <color theme="8"/>
      <name val="Arial"/>
      <family val="2"/>
    </font>
    <font>
      <b/>
      <sz val="18"/>
      <color theme="0"/>
      <name val="Arial"/>
      <family val="2"/>
    </font>
    <font>
      <b/>
      <sz val="11"/>
      <color theme="0"/>
      <name val="Arial"/>
      <family val="2"/>
    </font>
    <font>
      <b/>
      <sz val="16"/>
      <color theme="0"/>
      <name val="Arial"/>
      <family val="2"/>
    </font>
    <font>
      <sz val="11"/>
      <color theme="0"/>
      <name val="Arial"/>
      <family val="2"/>
    </font>
    <font>
      <b/>
      <sz val="16"/>
      <name val="Arial"/>
      <family val="2"/>
    </font>
  </fonts>
  <fills count="9">
    <fill>
      <patternFill patternType="none"/>
    </fill>
    <fill>
      <patternFill patternType="gray125"/>
    </fill>
    <fill>
      <patternFill patternType="solid">
        <fgColor rgb="FF17365D"/>
      </patternFill>
    </fill>
    <fill>
      <patternFill patternType="solid">
        <fgColor rgb="FFE7E6E6"/>
      </patternFill>
    </fill>
    <fill>
      <patternFill patternType="solid">
        <fgColor rgb="FFFFF2CC"/>
      </patternFill>
    </fill>
    <fill>
      <patternFill patternType="solid">
        <fgColor theme="9" tint="0.59999389629810485"/>
        <bgColor indexed="64"/>
      </patternFill>
    </fill>
    <fill>
      <patternFill patternType="solid">
        <fgColor rgb="FF0560F4"/>
        <bgColor indexed="64"/>
      </patternFill>
    </fill>
    <fill>
      <patternFill patternType="solid">
        <fgColor rgb="FFFFCB63"/>
        <bgColor indexed="64"/>
      </patternFill>
    </fill>
    <fill>
      <patternFill patternType="solid">
        <fgColor theme="9" tint="0.79998168889431442"/>
        <bgColor indexed="64"/>
      </patternFill>
    </fill>
  </fills>
  <borders count="33">
    <border>
      <left/>
      <right/>
      <top/>
      <bottom/>
      <diagonal/>
    </border>
    <border>
      <left/>
      <right/>
      <top/>
      <bottom/>
      <diagonal/>
    </border>
    <border>
      <left/>
      <right/>
      <top style="thin">
        <color rgb="FF000000"/>
      </top>
      <bottom/>
      <diagonal/>
    </border>
    <border>
      <left/>
      <right/>
      <top style="thin">
        <color rgb="FF000000"/>
      </top>
      <bottom/>
      <diagonal/>
    </border>
    <border>
      <left/>
      <right/>
      <top style="thin">
        <color indexed="64"/>
      </top>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medium">
        <color indexed="64"/>
      </top>
      <bottom/>
      <diagonal/>
    </border>
    <border>
      <left style="hair">
        <color indexed="64"/>
      </left>
      <right/>
      <top/>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style="hair">
        <color indexed="64"/>
      </left>
      <right/>
      <top style="thin">
        <color rgb="FF000000"/>
      </top>
      <bottom/>
      <diagonal/>
    </border>
    <border>
      <left style="hair">
        <color indexed="64"/>
      </left>
      <right/>
      <top/>
      <bottom style="thin">
        <color rgb="FF000000"/>
      </bottom>
      <diagonal/>
    </border>
    <border>
      <left/>
      <right style="hair">
        <color indexed="64"/>
      </right>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226">
    <xf numFmtId="0" fontId="0" fillId="0" borderId="0" xfId="0"/>
    <xf numFmtId="164" fontId="2" fillId="0" borderId="0" xfId="0" applyNumberFormat="1" applyFont="1"/>
    <xf numFmtId="0" fontId="1" fillId="3" borderId="0" xfId="0" applyFont="1" applyFill="1" applyAlignment="1">
      <alignment wrapText="1"/>
    </xf>
    <xf numFmtId="164" fontId="3" fillId="0" borderId="0" xfId="0" applyNumberFormat="1" applyFont="1"/>
    <xf numFmtId="0" fontId="0" fillId="0" borderId="0" xfId="0" applyAlignment="1">
      <alignment wrapText="1"/>
    </xf>
    <xf numFmtId="0" fontId="4" fillId="0" borderId="0" xfId="0" applyFont="1"/>
    <xf numFmtId="0" fontId="5" fillId="2" borderId="0" xfId="0" applyFont="1" applyFill="1" applyAlignment="1">
      <alignment wrapText="1"/>
    </xf>
    <xf numFmtId="0" fontId="7" fillId="0" borderId="0" xfId="0" applyFont="1"/>
    <xf numFmtId="168" fontId="7" fillId="0" borderId="0" xfId="1" applyNumberFormat="1" applyFont="1"/>
    <xf numFmtId="168" fontId="8" fillId="0" borderId="4" xfId="1" applyNumberFormat="1" applyFont="1" applyBorder="1"/>
    <xf numFmtId="0" fontId="8" fillId="0" borderId="0" xfId="0" applyFont="1"/>
    <xf numFmtId="0" fontId="7" fillId="0" borderId="0" xfId="0" applyFont="1" applyAlignment="1">
      <alignment horizontal="center"/>
    </xf>
    <xf numFmtId="43" fontId="7" fillId="0" borderId="0" xfId="1" applyFont="1"/>
    <xf numFmtId="0" fontId="7" fillId="0" borderId="4" xfId="0" applyFont="1" applyBorder="1"/>
    <xf numFmtId="168" fontId="7" fillId="0" borderId="4" xfId="1" applyNumberFormat="1" applyFont="1" applyBorder="1"/>
    <xf numFmtId="0" fontId="9" fillId="0" borderId="0" xfId="0" applyFont="1"/>
    <xf numFmtId="0" fontId="10" fillId="0" borderId="0" xfId="0" applyFont="1"/>
    <xf numFmtId="0" fontId="11" fillId="3" borderId="0" xfId="0" applyFont="1" applyFill="1" applyAlignment="1">
      <alignment horizontal="right"/>
    </xf>
    <xf numFmtId="0" fontId="11" fillId="4" borderId="0" xfId="0" applyFont="1" applyFill="1" applyAlignment="1">
      <alignment horizontal="right"/>
    </xf>
    <xf numFmtId="164" fontId="12" fillId="0" borderId="0" xfId="0" applyNumberFormat="1" applyFont="1" applyAlignment="1">
      <alignment horizontal="right"/>
    </xf>
    <xf numFmtId="0" fontId="13" fillId="0" borderId="0" xfId="0" applyFont="1"/>
    <xf numFmtId="165" fontId="13" fillId="0" borderId="0" xfId="0" applyNumberFormat="1" applyFont="1" applyAlignment="1">
      <alignment horizontal="right"/>
    </xf>
    <xf numFmtId="0" fontId="14" fillId="0" borderId="2" xfId="0" applyFont="1" applyBorder="1"/>
    <xf numFmtId="164" fontId="14" fillId="0" borderId="2" xfId="0" applyNumberFormat="1" applyFont="1" applyBorder="1" applyAlignment="1">
      <alignment horizontal="right"/>
    </xf>
    <xf numFmtId="166" fontId="12" fillId="0" borderId="0" xfId="0" applyNumberFormat="1" applyFont="1" applyAlignment="1">
      <alignment horizontal="right"/>
    </xf>
    <xf numFmtId="0" fontId="14" fillId="0" borderId="0" xfId="0" applyFont="1"/>
    <xf numFmtId="164" fontId="14" fillId="0" borderId="0" xfId="0" applyNumberFormat="1" applyFont="1" applyAlignment="1">
      <alignment horizontal="right"/>
    </xf>
    <xf numFmtId="164" fontId="13" fillId="0" borderId="0" xfId="0" applyNumberFormat="1" applyFont="1" applyAlignment="1">
      <alignment horizontal="right"/>
    </xf>
    <xf numFmtId="167" fontId="13" fillId="0" borderId="0" xfId="0" applyNumberFormat="1" applyFont="1" applyAlignment="1">
      <alignment horizontal="right"/>
    </xf>
    <xf numFmtId="168" fontId="9" fillId="0" borderId="0" xfId="1" applyNumberFormat="1" applyFont="1"/>
    <xf numFmtId="0" fontId="11" fillId="0" borderId="4" xfId="0" applyFont="1" applyBorder="1"/>
    <xf numFmtId="168" fontId="11" fillId="0" borderId="4" xfId="1" applyNumberFormat="1" applyFont="1" applyBorder="1"/>
    <xf numFmtId="0" fontId="11" fillId="0" borderId="0" xfId="0" applyFont="1"/>
    <xf numFmtId="168" fontId="11" fillId="0" borderId="0" xfId="1" applyNumberFormat="1" applyFont="1"/>
    <xf numFmtId="0" fontId="15" fillId="0" borderId="0" xfId="0" applyFont="1"/>
    <xf numFmtId="0" fontId="9" fillId="0" borderId="4" xfId="0" applyFont="1" applyBorder="1"/>
    <xf numFmtId="0" fontId="11" fillId="0" borderId="1" xfId="0" applyFont="1" applyBorder="1"/>
    <xf numFmtId="0" fontId="9" fillId="0" borderId="1" xfId="0" applyFont="1" applyBorder="1"/>
    <xf numFmtId="168" fontId="9" fillId="0" borderId="0" xfId="0" applyNumberFormat="1" applyFont="1"/>
    <xf numFmtId="168" fontId="9" fillId="0" borderId="4" xfId="0" applyNumberFormat="1" applyFont="1" applyBorder="1"/>
    <xf numFmtId="0" fontId="14" fillId="0" borderId="3" xfId="0" applyFont="1" applyBorder="1"/>
    <xf numFmtId="164" fontId="9" fillId="0" borderId="0" xfId="0" applyNumberFormat="1" applyFont="1"/>
    <xf numFmtId="168" fontId="9" fillId="0" borderId="4" xfId="1" applyNumberFormat="1" applyFont="1" applyBorder="1"/>
    <xf numFmtId="43" fontId="9" fillId="0" borderId="0" xfId="0" applyNumberFormat="1" applyFont="1"/>
    <xf numFmtId="168" fontId="7" fillId="0" borderId="0" xfId="0" applyNumberFormat="1" applyFont="1"/>
    <xf numFmtId="9" fontId="16" fillId="0" borderId="0" xfId="2" applyFont="1"/>
    <xf numFmtId="0" fontId="17" fillId="0" borderId="0" xfId="0" applyFont="1"/>
    <xf numFmtId="9" fontId="17" fillId="0" borderId="0" xfId="2" applyFont="1"/>
    <xf numFmtId="1" fontId="16" fillId="0" borderId="0" xfId="0" applyNumberFormat="1" applyFont="1"/>
    <xf numFmtId="0" fontId="7" fillId="0" borderId="1" xfId="0" applyFont="1" applyBorder="1"/>
    <xf numFmtId="0" fontId="8" fillId="0" borderId="5" xfId="0" applyFont="1" applyBorder="1"/>
    <xf numFmtId="0" fontId="8" fillId="0" borderId="6" xfId="0" applyFont="1" applyBorder="1"/>
    <xf numFmtId="0" fontId="8" fillId="0" borderId="7" xfId="0" applyFont="1" applyBorder="1" applyAlignment="1">
      <alignment horizontal="right"/>
    </xf>
    <xf numFmtId="0" fontId="7" fillId="0" borderId="8" xfId="0" applyFont="1" applyBorder="1"/>
    <xf numFmtId="10" fontId="7" fillId="0" borderId="0" xfId="2" applyNumberFormat="1" applyFont="1"/>
    <xf numFmtId="10" fontId="7" fillId="0" borderId="8" xfId="2" applyNumberFormat="1" applyFont="1" applyBorder="1"/>
    <xf numFmtId="168" fontId="7" fillId="0" borderId="8" xfId="1" applyNumberFormat="1" applyFont="1" applyBorder="1"/>
    <xf numFmtId="168" fontId="7" fillId="0" borderId="9" xfId="1" applyNumberFormat="1" applyFont="1" applyBorder="1"/>
    <xf numFmtId="9" fontId="7" fillId="0" borderId="0" xfId="2" applyFont="1"/>
    <xf numFmtId="9" fontId="7" fillId="0" borderId="8" xfId="2" applyFont="1" applyBorder="1"/>
    <xf numFmtId="168" fontId="7" fillId="0" borderId="10" xfId="1" applyNumberFormat="1" applyFont="1" applyBorder="1"/>
    <xf numFmtId="0" fontId="7" fillId="0" borderId="11" xfId="0" applyFont="1" applyBorder="1"/>
    <xf numFmtId="9" fontId="7" fillId="0" borderId="12" xfId="2" applyFont="1" applyBorder="1"/>
    <xf numFmtId="168" fontId="8" fillId="0" borderId="9" xfId="1" applyNumberFormat="1" applyFont="1" applyBorder="1"/>
    <xf numFmtId="168" fontId="7" fillId="0" borderId="6" xfId="1" applyNumberFormat="1" applyFont="1" applyBorder="1"/>
    <xf numFmtId="168" fontId="7" fillId="0" borderId="7" xfId="1" applyNumberFormat="1" applyFont="1" applyBorder="1"/>
    <xf numFmtId="168" fontId="7" fillId="0" borderId="13" xfId="0" applyNumberFormat="1" applyFont="1" applyBorder="1"/>
    <xf numFmtId="168" fontId="7" fillId="0" borderId="4" xfId="0" applyNumberFormat="1" applyFont="1" applyBorder="1"/>
    <xf numFmtId="168" fontId="7" fillId="0" borderId="9" xfId="0" applyNumberFormat="1" applyFont="1" applyBorder="1"/>
    <xf numFmtId="0" fontId="7" fillId="0" borderId="14" xfId="0" applyFont="1" applyBorder="1"/>
    <xf numFmtId="168" fontId="7" fillId="0" borderId="12" xfId="0" applyNumberFormat="1" applyFont="1" applyBorder="1"/>
    <xf numFmtId="168" fontId="7" fillId="0" borderId="8" xfId="0" applyNumberFormat="1" applyFont="1" applyBorder="1"/>
    <xf numFmtId="43" fontId="7" fillId="0" borderId="0" xfId="0" applyNumberFormat="1" applyFont="1"/>
    <xf numFmtId="0" fontId="8" fillId="0" borderId="15" xfId="0" applyFont="1" applyBorder="1"/>
    <xf numFmtId="0" fontId="7" fillId="0" borderId="16" xfId="0" applyFont="1" applyBorder="1"/>
    <xf numFmtId="168" fontId="8" fillId="0" borderId="16" xfId="0" applyNumberFormat="1" applyFont="1" applyBorder="1"/>
    <xf numFmtId="168" fontId="8" fillId="0" borderId="10" xfId="0" applyNumberFormat="1" applyFont="1" applyBorder="1"/>
    <xf numFmtId="0" fontId="8" fillId="0" borderId="1" xfId="0" applyFont="1" applyBorder="1"/>
    <xf numFmtId="168" fontId="8" fillId="0" borderId="1" xfId="0" applyNumberFormat="1" applyFont="1" applyBorder="1"/>
    <xf numFmtId="0" fontId="8" fillId="0" borderId="11" xfId="0" applyFont="1" applyBorder="1"/>
    <xf numFmtId="168" fontId="8" fillId="0" borderId="11" xfId="0" applyNumberFormat="1" applyFont="1" applyBorder="1"/>
    <xf numFmtId="0" fontId="21" fillId="0" borderId="0" xfId="0" applyFont="1"/>
    <xf numFmtId="0" fontId="9" fillId="0" borderId="13" xfId="0" applyFont="1" applyBorder="1"/>
    <xf numFmtId="0" fontId="9" fillId="0" borderId="17" xfId="0" applyFont="1" applyBorder="1"/>
    <xf numFmtId="168" fontId="9" fillId="0" borderId="17" xfId="1" applyNumberFormat="1" applyFont="1" applyBorder="1"/>
    <xf numFmtId="0" fontId="16" fillId="0" borderId="13" xfId="0" applyFont="1" applyBorder="1" applyAlignment="1">
      <alignment horizontal="left" indent="1"/>
    </xf>
    <xf numFmtId="168" fontId="7" fillId="0" borderId="17" xfId="1" applyNumberFormat="1" applyFont="1" applyBorder="1"/>
    <xf numFmtId="0" fontId="9" fillId="0" borderId="18" xfId="0" applyFont="1" applyBorder="1"/>
    <xf numFmtId="2" fontId="9" fillId="0" borderId="19" xfId="0" applyNumberFormat="1" applyFont="1" applyBorder="1"/>
    <xf numFmtId="168" fontId="9" fillId="0" borderId="20" xfId="1" applyNumberFormat="1" applyFont="1" applyBorder="1"/>
    <xf numFmtId="0" fontId="16" fillId="0" borderId="18" xfId="0" applyFont="1" applyBorder="1" applyAlignment="1">
      <alignment horizontal="left" indent="1"/>
    </xf>
    <xf numFmtId="9" fontId="9" fillId="0" borderId="19" xfId="0" applyNumberFormat="1" applyFont="1" applyBorder="1"/>
    <xf numFmtId="0" fontId="9" fillId="0" borderId="14" xfId="0" applyFont="1" applyBorder="1"/>
    <xf numFmtId="0" fontId="9" fillId="0" borderId="11" xfId="0" applyFont="1" applyBorder="1"/>
    <xf numFmtId="168" fontId="9" fillId="0" borderId="20" xfId="0" applyNumberFormat="1" applyFont="1" applyBorder="1"/>
    <xf numFmtId="10" fontId="9" fillId="0" borderId="20" xfId="2" applyNumberFormat="1" applyFont="1" applyBorder="1"/>
    <xf numFmtId="10" fontId="9" fillId="0" borderId="17" xfId="0" applyNumberFormat="1" applyFont="1" applyBorder="1"/>
    <xf numFmtId="0" fontId="9" fillId="0" borderId="19" xfId="0" applyFont="1" applyBorder="1"/>
    <xf numFmtId="168" fontId="9" fillId="0" borderId="19" xfId="1" applyNumberFormat="1" applyFont="1" applyBorder="1"/>
    <xf numFmtId="10" fontId="9" fillId="0" borderId="20" xfId="0" applyNumberFormat="1" applyFont="1" applyBorder="1"/>
    <xf numFmtId="0" fontId="9" fillId="0" borderId="18" xfId="0" applyFont="1" applyBorder="1" applyAlignment="1">
      <alignment horizontal="center"/>
    </xf>
    <xf numFmtId="0" fontId="9" fillId="0" borderId="1" xfId="0" applyFont="1" applyBorder="1" applyAlignment="1">
      <alignment horizontal="center"/>
    </xf>
    <xf numFmtId="168" fontId="9" fillId="0" borderId="17" xfId="0" applyNumberFormat="1" applyFont="1" applyBorder="1"/>
    <xf numFmtId="9" fontId="9" fillId="0" borderId="20" xfId="0" applyNumberFormat="1" applyFont="1" applyBorder="1"/>
    <xf numFmtId="0" fontId="16" fillId="0" borderId="14" xfId="0" applyFont="1" applyBorder="1" applyAlignment="1">
      <alignment horizontal="left" indent="1"/>
    </xf>
    <xf numFmtId="0" fontId="21" fillId="0" borderId="1" xfId="0" applyFont="1" applyBorder="1"/>
    <xf numFmtId="0" fontId="7" fillId="0" borderId="15" xfId="0" applyFont="1" applyBorder="1"/>
    <xf numFmtId="0" fontId="7" fillId="0" borderId="16" xfId="0" applyFont="1" applyBorder="1" applyAlignment="1">
      <alignment horizontal="right"/>
    </xf>
    <xf numFmtId="0" fontId="7" fillId="0" borderId="21" xfId="0" applyFont="1" applyBorder="1" applyAlignment="1">
      <alignment horizontal="right"/>
    </xf>
    <xf numFmtId="3" fontId="9" fillId="0" borderId="19" xfId="0" applyNumberFormat="1" applyFont="1" applyBorder="1"/>
    <xf numFmtId="168" fontId="7" fillId="0" borderId="19" xfId="1" applyNumberFormat="1" applyFont="1" applyBorder="1"/>
    <xf numFmtId="0" fontId="22" fillId="0" borderId="18" xfId="0" applyFont="1" applyBorder="1" applyAlignment="1">
      <alignment horizontal="left" indent="2"/>
    </xf>
    <xf numFmtId="169" fontId="9" fillId="0" borderId="19" xfId="2" applyNumberFormat="1" applyFont="1" applyBorder="1"/>
    <xf numFmtId="10" fontId="9" fillId="0" borderId="19" xfId="0" applyNumberFormat="1" applyFont="1" applyBorder="1"/>
    <xf numFmtId="0" fontId="23" fillId="0" borderId="14" xfId="0" applyFont="1" applyBorder="1" applyAlignment="1">
      <alignment horizontal="left" indent="2"/>
    </xf>
    <xf numFmtId="9" fontId="9" fillId="0" borderId="20" xfId="2" applyFont="1" applyBorder="1"/>
    <xf numFmtId="8" fontId="7" fillId="0" borderId="0" xfId="0" applyNumberFormat="1" applyFont="1"/>
    <xf numFmtId="0" fontId="8" fillId="0" borderId="16" xfId="0" applyFont="1" applyBorder="1"/>
    <xf numFmtId="168" fontId="8" fillId="0" borderId="21" xfId="1" applyNumberFormat="1" applyFont="1" applyBorder="1"/>
    <xf numFmtId="0" fontId="0" fillId="0" borderId="13" xfId="0" applyBorder="1"/>
    <xf numFmtId="0" fontId="0" fillId="0" borderId="18" xfId="0" applyBorder="1"/>
    <xf numFmtId="0" fontId="24" fillId="6" borderId="5" xfId="0" applyFont="1" applyFill="1" applyBorder="1"/>
    <xf numFmtId="0" fontId="25" fillId="6" borderId="5" xfId="0" applyFont="1" applyFill="1" applyBorder="1"/>
    <xf numFmtId="0" fontId="9" fillId="7" borderId="24" xfId="0" applyFont="1" applyFill="1" applyBorder="1" applyAlignment="1">
      <alignment horizontal="center"/>
    </xf>
    <xf numFmtId="170" fontId="9" fillId="7" borderId="24" xfId="0" applyNumberFormat="1" applyFont="1" applyFill="1" applyBorder="1"/>
    <xf numFmtId="14" fontId="9" fillId="7" borderId="24" xfId="0" applyNumberFormat="1" applyFont="1" applyFill="1" applyBorder="1" applyAlignment="1">
      <alignment horizontal="center"/>
    </xf>
    <xf numFmtId="170" fontId="9" fillId="0" borderId="1" xfId="2" applyNumberFormat="1" applyFont="1" applyBorder="1" applyAlignment="1">
      <alignment horizontal="center"/>
    </xf>
    <xf numFmtId="170" fontId="9" fillId="7" borderId="24" xfId="2" applyNumberFormat="1" applyFont="1" applyFill="1" applyBorder="1" applyAlignment="1">
      <alignment horizontal="right"/>
    </xf>
    <xf numFmtId="170" fontId="9" fillId="0" borderId="11" xfId="2" applyNumberFormat="1" applyFont="1" applyBorder="1" applyAlignment="1">
      <alignment horizontal="center"/>
    </xf>
    <xf numFmtId="0" fontId="9" fillId="6" borderId="5" xfId="0" applyFont="1" applyFill="1" applyBorder="1"/>
    <xf numFmtId="10" fontId="9" fillId="7" borderId="25" xfId="0" applyNumberFormat="1" applyFont="1" applyFill="1" applyBorder="1"/>
    <xf numFmtId="10" fontId="9" fillId="7" borderId="24" xfId="0" applyNumberFormat="1" applyFont="1" applyFill="1" applyBorder="1"/>
    <xf numFmtId="168" fontId="9" fillId="7" borderId="24" xfId="1" applyNumberFormat="1" applyFont="1" applyFill="1" applyBorder="1" applyAlignment="1">
      <alignment horizontal="left"/>
    </xf>
    <xf numFmtId="9" fontId="9" fillId="0" borderId="11" xfId="0" applyNumberFormat="1" applyFont="1" applyBorder="1"/>
    <xf numFmtId="0" fontId="24" fillId="6" borderId="0" xfId="0" applyFont="1" applyFill="1"/>
    <xf numFmtId="0" fontId="24" fillId="6" borderId="6" xfId="0" applyFont="1" applyFill="1" applyBorder="1"/>
    <xf numFmtId="168" fontId="9" fillId="0" borderId="26" xfId="1" applyNumberFormat="1" applyFont="1" applyBorder="1"/>
    <xf numFmtId="0" fontId="26" fillId="0" borderId="0" xfId="0" applyFont="1"/>
    <xf numFmtId="0" fontId="27" fillId="0" borderId="0" xfId="0" applyFont="1"/>
    <xf numFmtId="9" fontId="26" fillId="0" borderId="0" xfId="2" applyFont="1"/>
    <xf numFmtId="9" fontId="26" fillId="0" borderId="27" xfId="2" applyFont="1" applyBorder="1"/>
    <xf numFmtId="0" fontId="9" fillId="0" borderId="27" xfId="0" applyFont="1" applyBorder="1"/>
    <xf numFmtId="168" fontId="9" fillId="0" borderId="27" xfId="1" applyNumberFormat="1" applyFont="1" applyBorder="1"/>
    <xf numFmtId="168" fontId="11" fillId="0" borderId="29" xfId="1" applyNumberFormat="1" applyFont="1" applyBorder="1"/>
    <xf numFmtId="0" fontId="11" fillId="0" borderId="15" xfId="0" applyFont="1" applyBorder="1"/>
    <xf numFmtId="0" fontId="11" fillId="0" borderId="16" xfId="0" applyFont="1" applyBorder="1"/>
    <xf numFmtId="43" fontId="11" fillId="0" borderId="16" xfId="0" applyNumberFormat="1" applyFont="1" applyBorder="1"/>
    <xf numFmtId="168" fontId="11" fillId="0" borderId="28" xfId="0" applyNumberFormat="1" applyFont="1" applyBorder="1"/>
    <xf numFmtId="168" fontId="11" fillId="0" borderId="16" xfId="0" applyNumberFormat="1" applyFont="1" applyBorder="1"/>
    <xf numFmtId="168" fontId="11" fillId="0" borderId="21" xfId="0" applyNumberFormat="1" applyFont="1" applyBorder="1"/>
    <xf numFmtId="0" fontId="11" fillId="0" borderId="22" xfId="0" applyFont="1" applyBorder="1"/>
    <xf numFmtId="0" fontId="11" fillId="0" borderId="6" xfId="0" applyFont="1" applyBorder="1"/>
    <xf numFmtId="168" fontId="11" fillId="0" borderId="23" xfId="0" applyNumberFormat="1" applyFont="1" applyBorder="1"/>
    <xf numFmtId="0" fontId="9" fillId="6" borderId="0" xfId="0" applyFont="1" applyFill="1"/>
    <xf numFmtId="168" fontId="9" fillId="8" borderId="27" xfId="1" applyNumberFormat="1" applyFont="1" applyFill="1" applyBorder="1"/>
    <xf numFmtId="168" fontId="9" fillId="8" borderId="0" xfId="1" applyNumberFormat="1" applyFont="1" applyFill="1"/>
    <xf numFmtId="164" fontId="12" fillId="8" borderId="27" xfId="0" applyNumberFormat="1" applyFont="1" applyFill="1" applyBorder="1" applyAlignment="1">
      <alignment horizontal="right"/>
    </xf>
    <xf numFmtId="164" fontId="12" fillId="8" borderId="0" xfId="0" applyNumberFormat="1" applyFont="1" applyFill="1" applyAlignment="1">
      <alignment horizontal="right"/>
    </xf>
    <xf numFmtId="164" fontId="12" fillId="8" borderId="31" xfId="0" applyNumberFormat="1" applyFont="1" applyFill="1" applyBorder="1" applyAlignment="1">
      <alignment horizontal="right"/>
    </xf>
    <xf numFmtId="164" fontId="14" fillId="8" borderId="30" xfId="0" applyNumberFormat="1" applyFont="1" applyFill="1" applyBorder="1" applyAlignment="1">
      <alignment horizontal="right"/>
    </xf>
    <xf numFmtId="164" fontId="14" fillId="8" borderId="2" xfId="0" applyNumberFormat="1" applyFont="1" applyFill="1" applyBorder="1" applyAlignment="1">
      <alignment horizontal="right"/>
    </xf>
    <xf numFmtId="43" fontId="9" fillId="8" borderId="27" xfId="1" applyFont="1" applyFill="1" applyBorder="1"/>
    <xf numFmtId="43" fontId="9" fillId="8" borderId="0" xfId="1" applyFont="1" applyFill="1"/>
    <xf numFmtId="0" fontId="9" fillId="8" borderId="27" xfId="0" applyFont="1" applyFill="1" applyBorder="1"/>
    <xf numFmtId="0" fontId="9" fillId="8" borderId="0" xfId="0" applyFont="1" applyFill="1"/>
    <xf numFmtId="164" fontId="9" fillId="8" borderId="27" xfId="0" applyNumberFormat="1" applyFont="1" applyFill="1" applyBorder="1"/>
    <xf numFmtId="164" fontId="9" fillId="8" borderId="0" xfId="0" applyNumberFormat="1" applyFont="1" applyFill="1"/>
    <xf numFmtId="168" fontId="9" fillId="8" borderId="27" xfId="0" applyNumberFormat="1" applyFont="1" applyFill="1" applyBorder="1"/>
    <xf numFmtId="168" fontId="9" fillId="8" borderId="0" xfId="0" applyNumberFormat="1" applyFont="1" applyFill="1"/>
    <xf numFmtId="168" fontId="11" fillId="8" borderId="29" xfId="1" applyNumberFormat="1" applyFont="1" applyFill="1" applyBorder="1"/>
    <xf numFmtId="168" fontId="11" fillId="8" borderId="4" xfId="1" applyNumberFormat="1" applyFont="1" applyFill="1" applyBorder="1"/>
    <xf numFmtId="9" fontId="9" fillId="8" borderId="27" xfId="2" applyFont="1" applyFill="1" applyBorder="1"/>
    <xf numFmtId="9" fontId="9" fillId="8" borderId="0" xfId="2" applyFont="1" applyFill="1"/>
    <xf numFmtId="168" fontId="11" fillId="8" borderId="27" xfId="1" applyNumberFormat="1" applyFont="1" applyFill="1" applyBorder="1"/>
    <xf numFmtId="168" fontId="11" fillId="8" borderId="0" xfId="1" applyNumberFormat="1" applyFont="1" applyFill="1"/>
    <xf numFmtId="168" fontId="9" fillId="8" borderId="29" xfId="0" applyNumberFormat="1" applyFont="1" applyFill="1" applyBorder="1"/>
    <xf numFmtId="168" fontId="9" fillId="8" borderId="4" xfId="0" applyNumberFormat="1" applyFont="1" applyFill="1" applyBorder="1"/>
    <xf numFmtId="168" fontId="9" fillId="8" borderId="29" xfId="1" applyNumberFormat="1" applyFont="1" applyFill="1" applyBorder="1"/>
    <xf numFmtId="168" fontId="9" fillId="8" borderId="4" xfId="1" applyNumberFormat="1" applyFont="1" applyFill="1" applyBorder="1"/>
    <xf numFmtId="0" fontId="7" fillId="0" borderId="18" xfId="0" applyFont="1" applyBorder="1"/>
    <xf numFmtId="0" fontId="9" fillId="0" borderId="15" xfId="0" applyFont="1" applyBorder="1"/>
    <xf numFmtId="0" fontId="9" fillId="0" borderId="16" xfId="0" applyFont="1" applyBorder="1"/>
    <xf numFmtId="0" fontId="9" fillId="0" borderId="21" xfId="0" applyFont="1" applyBorder="1"/>
    <xf numFmtId="0" fontId="19" fillId="6" borderId="0" xfId="0" applyFont="1" applyFill="1"/>
    <xf numFmtId="0" fontId="10" fillId="0" borderId="0" xfId="0" applyFont="1"/>
    <xf numFmtId="0" fontId="9" fillId="0" borderId="13" xfId="0" applyFont="1" applyBorder="1" applyAlignment="1">
      <alignment horizontal="left"/>
    </xf>
    <xf numFmtId="0" fontId="9" fillId="0" borderId="4" xfId="0" applyFont="1" applyBorder="1" applyAlignment="1">
      <alignment horizontal="left"/>
    </xf>
    <xf numFmtId="0" fontId="9" fillId="0" borderId="17" xfId="0" applyFont="1" applyBorder="1" applyAlignment="1">
      <alignment horizontal="left"/>
    </xf>
    <xf numFmtId="0" fontId="9" fillId="0" borderId="18" xfId="0" applyFont="1" applyBorder="1" applyAlignment="1">
      <alignment horizontal="right"/>
    </xf>
    <xf numFmtId="0" fontId="9" fillId="0" borderId="1" xfId="0" applyFont="1" applyBorder="1" applyAlignment="1">
      <alignment horizontal="right"/>
    </xf>
    <xf numFmtId="0" fontId="9" fillId="0" borderId="19" xfId="0" applyFont="1" applyBorder="1" applyAlignment="1">
      <alignment horizontal="right"/>
    </xf>
    <xf numFmtId="0" fontId="7" fillId="0" borderId="0" xfId="0" applyFont="1" applyAlignment="1">
      <alignment horizontal="center"/>
    </xf>
    <xf numFmtId="0" fontId="5" fillId="2" borderId="0" xfId="0" applyFont="1" applyFill="1"/>
    <xf numFmtId="0" fontId="0" fillId="4" borderId="0" xfId="0" applyFill="1" applyAlignment="1">
      <alignment wrapText="1"/>
    </xf>
    <xf numFmtId="168" fontId="9" fillId="8" borderId="1" xfId="1" applyNumberFormat="1" applyFont="1" applyFill="1" applyBorder="1"/>
    <xf numFmtId="0" fontId="20" fillId="6" borderId="0" xfId="0" applyFont="1" applyFill="1"/>
    <xf numFmtId="0" fontId="28" fillId="6" borderId="0" xfId="0" applyFont="1" applyFill="1"/>
    <xf numFmtId="0" fontId="24" fillId="6" borderId="22" xfId="0" applyFont="1" applyFill="1" applyBorder="1" applyAlignment="1">
      <alignment horizontal="left" indent="1"/>
    </xf>
    <xf numFmtId="0" fontId="29" fillId="6" borderId="6" xfId="0" applyFont="1" applyFill="1" applyBorder="1"/>
    <xf numFmtId="2" fontId="29" fillId="6" borderId="23" xfId="0" applyNumberFormat="1" applyFont="1" applyFill="1" applyBorder="1"/>
    <xf numFmtId="0" fontId="7" fillId="0" borderId="10" xfId="0" applyFont="1" applyBorder="1"/>
    <xf numFmtId="9" fontId="7" fillId="0" borderId="10" xfId="0" applyNumberFormat="1" applyFont="1" applyBorder="1" applyAlignment="1">
      <alignment horizontal="right"/>
    </xf>
    <xf numFmtId="10" fontId="7" fillId="0" borderId="10" xfId="0" applyNumberFormat="1" applyFont="1" applyBorder="1" applyAlignment="1">
      <alignment horizontal="right"/>
    </xf>
    <xf numFmtId="0" fontId="7" fillId="0" borderId="10" xfId="0" applyFont="1" applyBorder="1" applyAlignment="1">
      <alignment vertical="center" wrapText="1"/>
    </xf>
    <xf numFmtId="0" fontId="9" fillId="0" borderId="10" xfId="0" applyFont="1" applyBorder="1"/>
    <xf numFmtId="0" fontId="13" fillId="0" borderId="10" xfId="0" applyFont="1" applyBorder="1"/>
    <xf numFmtId="1" fontId="7" fillId="0" borderId="10" xfId="0" applyNumberFormat="1" applyFont="1" applyBorder="1" applyAlignment="1">
      <alignment horizontal="right"/>
    </xf>
    <xf numFmtId="0" fontId="7" fillId="0" borderId="10" xfId="0" applyFont="1" applyBorder="1" applyAlignment="1">
      <alignment horizontal="right"/>
    </xf>
    <xf numFmtId="168" fontId="7" fillId="0" borderId="10" xfId="1" applyNumberFormat="1" applyFont="1" applyBorder="1" applyAlignment="1">
      <alignment horizontal="right"/>
    </xf>
    <xf numFmtId="0" fontId="8" fillId="0" borderId="10" xfId="0" applyFont="1" applyBorder="1"/>
    <xf numFmtId="10" fontId="8" fillId="0" borderId="10" xfId="0" applyNumberFormat="1" applyFont="1" applyBorder="1" applyAlignment="1">
      <alignment horizontal="right"/>
    </xf>
    <xf numFmtId="3" fontId="7" fillId="0" borderId="10" xfId="0" applyNumberFormat="1" applyFont="1" applyBorder="1"/>
    <xf numFmtId="169" fontId="7" fillId="0" borderId="10" xfId="2" applyNumberFormat="1" applyFont="1" applyBorder="1"/>
    <xf numFmtId="0" fontId="28" fillId="6" borderId="10" xfId="0" applyFont="1" applyFill="1" applyBorder="1"/>
    <xf numFmtId="0" fontId="8" fillId="0" borderId="10" xfId="0" applyFont="1" applyBorder="1" applyAlignment="1">
      <alignment vertical="center"/>
    </xf>
    <xf numFmtId="0" fontId="7" fillId="0" borderId="10" xfId="0" applyFont="1" applyBorder="1" applyAlignment="1">
      <alignment vertical="center"/>
    </xf>
    <xf numFmtId="0" fontId="31" fillId="6" borderId="0" xfId="0" applyFont="1" applyFill="1"/>
    <xf numFmtId="0" fontId="31" fillId="6" borderId="1" xfId="0" applyFont="1" applyFill="1" applyBorder="1"/>
    <xf numFmtId="0" fontId="29" fillId="6" borderId="5" xfId="0" applyFont="1" applyFill="1" applyBorder="1"/>
    <xf numFmtId="0" fontId="29" fillId="6" borderId="7" xfId="0" applyFont="1" applyFill="1" applyBorder="1" applyAlignment="1">
      <alignment horizontal="right"/>
    </xf>
    <xf numFmtId="0" fontId="32" fillId="5" borderId="0" xfId="0" applyFont="1" applyFill="1" applyAlignment="1">
      <alignment horizontal="center"/>
    </xf>
    <xf numFmtId="0" fontId="9" fillId="5" borderId="0" xfId="0" applyFont="1" applyFill="1"/>
    <xf numFmtId="0" fontId="9" fillId="5" borderId="27" xfId="0" applyFont="1" applyFill="1" applyBorder="1"/>
    <xf numFmtId="0" fontId="30" fillId="6" borderId="1" xfId="0" applyFont="1" applyFill="1" applyBorder="1" applyAlignment="1">
      <alignment horizontal="center"/>
    </xf>
    <xf numFmtId="0" fontId="30" fillId="6" borderId="32" xfId="0" applyFont="1" applyFill="1" applyBorder="1" applyAlignment="1">
      <alignment horizontal="center"/>
    </xf>
    <xf numFmtId="0" fontId="25" fillId="6" borderId="0" xfId="0" applyFont="1" applyFill="1"/>
  </cellXfs>
  <cellStyles count="3">
    <cellStyle name="Comma" xfId="1" builtinId="3"/>
    <cellStyle name="Normal" xfId="0" builtinId="0"/>
    <cellStyle name="Per cent" xfId="2" builtinId="5"/>
  </cellStyles>
  <dxfs count="0"/>
  <tableStyles count="0" defaultTableStyle="TableStyleMedium2" defaultPivotStyle="PivotStyleLight16"/>
  <colors>
    <mruColors>
      <color rgb="FF0560F4"/>
      <color rgb="FF19A6F4"/>
      <color rgb="FFFFC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Cash</a:t>
            </a:r>
            <a:r>
              <a:rPr lang="en-GB" sz="1600" b="1" baseline="0"/>
              <a:t> Flow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19A6F4"/>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Summary!$G$16:$L$16</c:f>
              <c:numCache>
                <c:formatCode>General</c:formatCode>
                <c:ptCount val="6"/>
                <c:pt idx="0">
                  <c:v>2025</c:v>
                </c:pt>
                <c:pt idx="1">
                  <c:v>2026</c:v>
                </c:pt>
                <c:pt idx="2">
                  <c:v>2027</c:v>
                </c:pt>
                <c:pt idx="3">
                  <c:v>2028</c:v>
                </c:pt>
                <c:pt idx="4">
                  <c:v>2029</c:v>
                </c:pt>
                <c:pt idx="5">
                  <c:v>2030</c:v>
                </c:pt>
              </c:numCache>
            </c:numRef>
          </c:cat>
          <c:val>
            <c:numRef>
              <c:f>Summary!$G$31:$L$31</c:f>
              <c:numCache>
                <c:formatCode>_(* #,##0_);_(* \(#,##0\);_(* "-"??_);_(@_)</c:formatCode>
                <c:ptCount val="6"/>
                <c:pt idx="0">
                  <c:v>1148.9740000000002</c:v>
                </c:pt>
                <c:pt idx="1">
                  <c:v>2954.3325063175012</c:v>
                </c:pt>
                <c:pt idx="2">
                  <c:v>2971.598027974153</c:v>
                </c:pt>
                <c:pt idx="3">
                  <c:v>3188.2623053007574</c:v>
                </c:pt>
                <c:pt idx="4">
                  <c:v>3850.252071895361</c:v>
                </c:pt>
                <c:pt idx="5">
                  <c:v>4511.0707792024332</c:v>
                </c:pt>
              </c:numCache>
            </c:numRef>
          </c:val>
          <c:extLst>
            <c:ext xmlns:c16="http://schemas.microsoft.com/office/drawing/2014/chart" uri="{C3380CC4-5D6E-409C-BE32-E72D297353CC}">
              <c16:uniqueId val="{00000000-29DB-274C-A7AD-11DA43C76D28}"/>
            </c:ext>
          </c:extLst>
        </c:ser>
        <c:dLbls>
          <c:showLegendKey val="0"/>
          <c:showVal val="0"/>
          <c:showCatName val="0"/>
          <c:showSerName val="0"/>
          <c:showPercent val="0"/>
          <c:showBubbleSize val="0"/>
        </c:dLbls>
        <c:gapWidth val="64"/>
        <c:overlap val="-27"/>
        <c:axId val="1709133952"/>
        <c:axId val="1662711568"/>
      </c:barChart>
      <c:catAx>
        <c:axId val="17091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62711568"/>
        <c:crosses val="autoZero"/>
        <c:auto val="1"/>
        <c:lblAlgn val="ctr"/>
        <c:lblOffset val="100"/>
        <c:noMultiLvlLbl val="0"/>
      </c:catAx>
      <c:valAx>
        <c:axId val="1662711568"/>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3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Market Value vs Instrinic Value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GB" sz="1600" b="1" i="0" u="none" strike="noStrike" kern="1200" cap="none" spc="0" normalizeH="0" baseline="0" noProof="0">
              <a:ln>
                <a:noFill/>
              </a:ln>
              <a:solidFill>
                <a:sysClr val="windowText" lastClr="000000">
                  <a:lumMod val="65000"/>
                  <a:lumOff val="35000"/>
                </a:sysClr>
              </a:solidFill>
              <a:effectLst/>
              <a:uLnTx/>
              <a:uFillTx/>
              <a:latin typeface="Calibri"/>
              <a:cs typeface="Calibri"/>
            </a:rPr>
            <a:t>Market Value vs Instrinic Value</a:t>
          </a:r>
        </a:p>
      </cx:txPr>
    </cx:title>
    <cx:plotArea>
      <cx:plotAreaRegion>
        <cx:series layoutId="waterfall" uniqueId="{2EDB5009-A99A-AA42-845E-A14950FBF33A}">
          <cx:dataPt idx="0">
            <cx:spPr>
              <a:solidFill>
                <a:srgbClr val="00B0F0"/>
              </a:solidFill>
            </cx:spPr>
          </cx:dataPt>
          <cx:dataPt idx="1">
            <cx:spPr>
              <a:solidFill>
                <a:srgbClr val="00B0F0"/>
              </a:solidFill>
            </cx:spPr>
          </cx:dataPt>
          <cx:dataPt idx="2">
            <cx:spPr>
              <a:solidFill>
                <a:srgbClr val="00B0F0"/>
              </a:solidFill>
            </cx:spPr>
          </cx:dataPt>
          <cx:dataLabels>
            <cx:txPr>
              <a:bodyPr spcFirstLastPara="1" vertOverflow="ellipsis" horzOverflow="overflow" wrap="square" lIns="0" tIns="0" rIns="0" bIns="0" anchor="ctr" anchorCtr="1"/>
              <a:lstStyle/>
              <a:p>
                <a:pPr algn="ctr" rtl="0">
                  <a:defRPr sz="1000" b="1">
                    <a:solidFill>
                      <a:schemeClr val="tx2">
                        <a:lumMod val="90000"/>
                        <a:lumOff val="10000"/>
                      </a:schemeClr>
                    </a:solidFill>
                  </a:defRPr>
                </a:pPr>
                <a:endParaRPr lang="en-GB" sz="1000" b="1" i="0" u="none" strike="noStrike" kern="1200" baseline="0">
                  <a:solidFill>
                    <a:schemeClr val="tx2">
                      <a:lumMod val="90000"/>
                      <a:lumOff val="10000"/>
                    </a:schemeClr>
                  </a:solidFill>
                  <a:latin typeface="Calibri"/>
                  <a:cs typeface="Calibri"/>
                </a:endParaRPr>
              </a:p>
            </cx:txPr>
          </cx:dataLabels>
          <cx:dataId val="0"/>
          <cx:layoutPr>
            <cx:subtotals>
              <cx:idx val="0"/>
              <cx:idx val="2"/>
            </cx:subtotals>
          </cx:layoutPr>
        </cx:series>
      </cx:plotAreaRegion>
      <cx:axis id="0">
        <cx:catScaling gapWidth="1.5"/>
        <cx:tickLabels/>
        <cx:txPr>
          <a:bodyPr spcFirstLastPara="1" vertOverflow="ellipsis" horzOverflow="overflow" wrap="square" lIns="0" tIns="0" rIns="0" bIns="0" anchor="ctr" anchorCtr="1"/>
          <a:lstStyle/>
          <a:p>
            <a:pPr algn="ctr" rtl="0">
              <a:defRPr sz="1050"/>
            </a:pPr>
            <a:endParaRPr lang="en-GB" sz="1050" b="0" i="0" u="none" strike="noStrike" kern="1200" baseline="0">
              <a:solidFill>
                <a:sysClr val="windowText" lastClr="000000">
                  <a:lumMod val="65000"/>
                  <a:lumOff val="35000"/>
                </a:sysClr>
              </a:solidFill>
              <a:latin typeface="Calibri"/>
              <a:cs typeface="Calibri"/>
            </a:endParaRPr>
          </a:p>
        </cx:txPr>
      </cx:axis>
      <cx:axis id="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615950</xdr:colOff>
      <xdr:row>17</xdr:row>
      <xdr:rowOff>69850</xdr:rowOff>
    </xdr:from>
    <xdr:to>
      <xdr:col>19</xdr:col>
      <xdr:colOff>355600</xdr:colOff>
      <xdr:row>32</xdr:row>
      <xdr:rowOff>63500</xdr:rowOff>
    </xdr:to>
    <xdr:graphicFrame macro="">
      <xdr:nvGraphicFramePr>
        <xdr:cNvPr id="2" name="Chart 1">
          <a:extLst>
            <a:ext uri="{FF2B5EF4-FFF2-40B4-BE49-F238E27FC236}">
              <a16:creationId xmlns:a16="http://schemas.microsoft.com/office/drawing/2014/main" id="{F33B8A23-29FB-4F14-877D-52F7BAE3A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552450</xdr:colOff>
      <xdr:row>1</xdr:row>
      <xdr:rowOff>6350</xdr:rowOff>
    </xdr:from>
    <xdr:to>
      <xdr:col>19</xdr:col>
      <xdr:colOff>127000</xdr:colOff>
      <xdr:row>15</xdr:row>
      <xdr:rowOff>165100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24A6304F-6A60-A85F-667D-546580BB20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20350" y="209550"/>
              <a:ext cx="5353050" cy="30289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2AF-F7F5-4044-BA73-EFABD5CEC727}">
  <dimension ref="B2:L35"/>
  <sheetViews>
    <sheetView showGridLines="0" tabSelected="1" zoomScale="75" workbookViewId="0">
      <selection activeCell="J10" sqref="J10"/>
    </sheetView>
  </sheetViews>
  <sheetFormatPr baseColWidth="10" defaultRowHeight="16"/>
  <cols>
    <col min="1" max="1" width="4.1640625" style="15" customWidth="1"/>
    <col min="2" max="2" width="16.33203125" style="15" customWidth="1"/>
    <col min="3" max="3" width="11.5" style="15" bestFit="1" customWidth="1"/>
    <col min="4" max="4" width="11" style="15" bestFit="1" customWidth="1"/>
    <col min="5" max="5" width="9.5" style="15" customWidth="1"/>
    <col min="6" max="12" width="11" style="15" bestFit="1" customWidth="1"/>
    <col min="13" max="16384" width="10.83203125" style="15"/>
  </cols>
  <sheetData>
    <row r="2" spans="2:12" ht="17" thickBot="1">
      <c r="B2" s="121" t="s">
        <v>365</v>
      </c>
      <c r="C2" s="121"/>
      <c r="D2" s="121"/>
      <c r="E2" s="122"/>
      <c r="F2" s="122"/>
      <c r="G2" s="122"/>
      <c r="H2" s="122"/>
      <c r="I2" s="122"/>
      <c r="J2" s="122"/>
      <c r="K2" s="122"/>
      <c r="L2" s="122"/>
    </row>
    <row r="4" spans="2:12">
      <c r="B4" s="15" t="s">
        <v>366</v>
      </c>
      <c r="C4" s="123" t="s">
        <v>367</v>
      </c>
      <c r="E4" s="15" t="s">
        <v>370</v>
      </c>
      <c r="G4" s="124">
        <v>8.07</v>
      </c>
    </row>
    <row r="5" spans="2:12">
      <c r="B5" s="15" t="s">
        <v>368</v>
      </c>
      <c r="C5" s="125">
        <v>46232</v>
      </c>
      <c r="E5" s="15" t="s">
        <v>381</v>
      </c>
      <c r="G5" s="124">
        <f>G6-G4</f>
        <v>39.218808605379415</v>
      </c>
      <c r="K5" s="126"/>
    </row>
    <row r="6" spans="2:12">
      <c r="E6" s="15" t="s">
        <v>369</v>
      </c>
      <c r="G6" s="127">
        <f>DCF!N60</f>
        <v>47.288808605379415</v>
      </c>
    </row>
    <row r="7" spans="2:12">
      <c r="B7" s="93"/>
      <c r="C7" s="93"/>
      <c r="D7" s="93"/>
      <c r="E7" s="93"/>
      <c r="F7" s="93"/>
      <c r="G7" s="128"/>
      <c r="H7" s="93"/>
      <c r="I7" s="93"/>
      <c r="J7" s="93"/>
      <c r="K7" s="93"/>
      <c r="L7" s="93"/>
    </row>
    <row r="9" spans="2:12" ht="17" thickBot="1">
      <c r="B9" s="121" t="s">
        <v>304</v>
      </c>
      <c r="C9" s="129"/>
      <c r="D9" s="129"/>
    </row>
    <row r="10" spans="2:12">
      <c r="B10" s="15" t="s">
        <v>316</v>
      </c>
      <c r="D10" s="130">
        <f>DCF!D61</f>
        <v>7.5953279801117726E-2</v>
      </c>
    </row>
    <row r="11" spans="2:12">
      <c r="B11" s="15" t="s">
        <v>313</v>
      </c>
      <c r="D11" s="131">
        <f>DCF!D60</f>
        <v>0.03</v>
      </c>
    </row>
    <row r="12" spans="2:12">
      <c r="B12" s="15" t="s">
        <v>302</v>
      </c>
      <c r="D12" s="132">
        <f>DCF!I59</f>
        <v>48622.812422079362</v>
      </c>
    </row>
    <row r="13" spans="2:12">
      <c r="B13" s="15" t="s">
        <v>314</v>
      </c>
      <c r="D13" s="132">
        <f>DCF!I60</f>
        <v>62496.267083128114</v>
      </c>
    </row>
    <row r="14" spans="2:12">
      <c r="B14" s="93"/>
      <c r="C14" s="93"/>
      <c r="D14" s="133"/>
      <c r="E14" s="93"/>
      <c r="F14" s="93"/>
      <c r="G14" s="93"/>
      <c r="H14" s="93"/>
      <c r="I14" s="93"/>
      <c r="J14" s="93"/>
      <c r="K14" s="93"/>
      <c r="L14" s="93"/>
    </row>
    <row r="16" spans="2:12" ht="17" thickBot="1">
      <c r="B16" s="134" t="s">
        <v>371</v>
      </c>
      <c r="C16" s="134"/>
      <c r="D16" s="134"/>
      <c r="E16" s="121">
        <v>2023</v>
      </c>
      <c r="F16" s="121">
        <v>2024</v>
      </c>
      <c r="G16" s="121">
        <v>2025</v>
      </c>
      <c r="H16" s="135">
        <v>2026</v>
      </c>
      <c r="I16" s="135">
        <v>2027</v>
      </c>
      <c r="J16" s="135">
        <v>2028</v>
      </c>
      <c r="K16" s="135">
        <v>2029</v>
      </c>
      <c r="L16" s="135">
        <v>2030</v>
      </c>
    </row>
    <row r="17" spans="2:12">
      <c r="B17" s="15" t="s">
        <v>169</v>
      </c>
      <c r="E17" s="29">
        <f>DCF!F11</f>
        <v>29652</v>
      </c>
      <c r="F17" s="29">
        <f>DCF!G11</f>
        <v>29213</v>
      </c>
      <c r="G17" s="29">
        <f>DCF!H11</f>
        <v>28891</v>
      </c>
      <c r="H17" s="136">
        <f>DCF!I11</f>
        <v>29244.815008420341</v>
      </c>
      <c r="I17" s="29">
        <f>DCF!J11</f>
        <v>29850.199424189123</v>
      </c>
      <c r="J17" s="29">
        <f>DCF!K11</f>
        <v>30577.80431887709</v>
      </c>
      <c r="K17" s="29">
        <f>DCF!L11</f>
        <v>31474.79787467116</v>
      </c>
      <c r="L17" s="29">
        <f>DCF!M11</f>
        <v>32473.319670499812</v>
      </c>
    </row>
    <row r="18" spans="2:12">
      <c r="B18" s="137" t="s">
        <v>373</v>
      </c>
      <c r="C18" s="138"/>
      <c r="D18" s="138"/>
      <c r="E18" s="138"/>
      <c r="F18" s="139">
        <f>F17/E17-1</f>
        <v>-1.4805072170511302E-2</v>
      </c>
      <c r="G18" s="139">
        <f t="shared" ref="G18:L18" si="0">G17/F17-1</f>
        <v>-1.1022489987334461E-2</v>
      </c>
      <c r="H18" s="140">
        <f t="shared" si="0"/>
        <v>1.2246547659144458E-2</v>
      </c>
      <c r="I18" s="139">
        <f t="shared" si="0"/>
        <v>2.0700572583361332E-2</v>
      </c>
      <c r="J18" s="139">
        <f t="shared" si="0"/>
        <v>2.4375210508588818E-2</v>
      </c>
      <c r="K18" s="139">
        <f t="shared" si="0"/>
        <v>2.9334792859548653E-2</v>
      </c>
      <c r="L18" s="139">
        <f t="shared" si="0"/>
        <v>3.1724486359043347E-2</v>
      </c>
    </row>
    <row r="19" spans="2:12">
      <c r="H19" s="141"/>
    </row>
    <row r="20" spans="2:12">
      <c r="B20" s="15" t="s">
        <v>296</v>
      </c>
      <c r="E20" s="29">
        <f>DCF!F16</f>
        <v>-33</v>
      </c>
      <c r="F20" s="29">
        <f>DCF!G16</f>
        <v>-4877</v>
      </c>
      <c r="G20" s="29">
        <f>DCF!H16</f>
        <v>1693</v>
      </c>
      <c r="H20" s="142">
        <f>DCF!I16</f>
        <v>2997.9350084203397</v>
      </c>
      <c r="I20" s="29">
        <f>DCF!J16</f>
        <v>3006.9872241891208</v>
      </c>
      <c r="J20" s="29">
        <f>DCF!K16</f>
        <v>3289.266763877089</v>
      </c>
      <c r="K20" s="29">
        <f>DCF!L16</f>
        <v>4047.0331633711585</v>
      </c>
      <c r="L20" s="29">
        <f>DCF!M16</f>
        <v>4898.374706377811</v>
      </c>
    </row>
    <row r="21" spans="2:12">
      <c r="B21" s="137" t="s">
        <v>372</v>
      </c>
      <c r="C21" s="138"/>
      <c r="D21" s="138"/>
      <c r="E21" s="139">
        <f>E20/E17</f>
        <v>-1.1129097531363821E-3</v>
      </c>
      <c r="F21" s="139">
        <f t="shared" ref="F21:L21" si="1">F20/F17</f>
        <v>-0.16694622257214253</v>
      </c>
      <c r="G21" s="139">
        <f t="shared" si="1"/>
        <v>5.8599563878024299E-2</v>
      </c>
      <c r="H21" s="140">
        <f t="shared" si="1"/>
        <v>0.10251167625977994</v>
      </c>
      <c r="I21" s="139">
        <f t="shared" si="1"/>
        <v>0.10073591742078639</v>
      </c>
      <c r="J21" s="139">
        <f t="shared" si="1"/>
        <v>0.10757040399550444</v>
      </c>
      <c r="K21" s="139">
        <f t="shared" si="1"/>
        <v>0.12858011604986172</v>
      </c>
      <c r="L21" s="139">
        <f t="shared" si="1"/>
        <v>0.15084305380788368</v>
      </c>
    </row>
    <row r="22" spans="2:12">
      <c r="H22" s="141"/>
    </row>
    <row r="23" spans="2:12">
      <c r="B23" s="15" t="s">
        <v>374</v>
      </c>
      <c r="E23" s="29">
        <f>DCF!F22</f>
        <v>-361</v>
      </c>
      <c r="F23" s="29">
        <f>DCF!G22</f>
        <v>-305</v>
      </c>
      <c r="G23" s="29">
        <f>DCF!H22</f>
        <v>-119</v>
      </c>
      <c r="H23" s="142">
        <f>DCF!I22</f>
        <v>323.7244020208804</v>
      </c>
      <c r="I23" s="29">
        <f>DCF!J22</f>
        <v>335.34870313872244</v>
      </c>
      <c r="J23" s="29">
        <f>DCF!K22</f>
        <v>414.79735195494612</v>
      </c>
      <c r="K23" s="29">
        <f>DCF!L22</f>
        <v>604.17693906923785</v>
      </c>
      <c r="L23" s="29">
        <f>DCF!M22</f>
        <v>818.50879641359143</v>
      </c>
    </row>
    <row r="24" spans="2:12">
      <c r="B24" s="137" t="s">
        <v>375</v>
      </c>
      <c r="C24" s="138"/>
      <c r="D24" s="138"/>
      <c r="E24" s="139">
        <f>E23/E20</f>
        <v>10.939393939393939</v>
      </c>
      <c r="F24" s="139">
        <f t="shared" ref="F24:L24" si="2">F23/F20</f>
        <v>6.2538445765839654E-2</v>
      </c>
      <c r="G24" s="139">
        <f t="shared" si="2"/>
        <v>-7.0289427052569409E-2</v>
      </c>
      <c r="H24" s="140">
        <f t="shared" si="2"/>
        <v>0.10798246163163357</v>
      </c>
      <c r="I24" s="139">
        <f t="shared" si="2"/>
        <v>0.11152315528349285</v>
      </c>
      <c r="J24" s="139">
        <f t="shared" si="2"/>
        <v>0.12610632755916112</v>
      </c>
      <c r="K24" s="139">
        <f t="shared" si="2"/>
        <v>0.14928885301398456</v>
      </c>
      <c r="L24" s="139">
        <f t="shared" si="2"/>
        <v>0.16709803669120529</v>
      </c>
    </row>
    <row r="25" spans="2:12">
      <c r="H25" s="141"/>
    </row>
    <row r="26" spans="2:12">
      <c r="B26" s="15" t="s">
        <v>297</v>
      </c>
      <c r="E26" s="29">
        <f>DCF!F34</f>
        <v>-25.608000000000001</v>
      </c>
      <c r="F26" s="29">
        <f>DCF!G34</f>
        <v>-4647.7809999999999</v>
      </c>
      <c r="G26" s="29">
        <f>DCF!H34</f>
        <v>876.97400000000005</v>
      </c>
      <c r="H26" s="142">
        <f>DCF!I34</f>
        <v>2278.4306063994582</v>
      </c>
      <c r="I26" s="29">
        <f>DCF!J34</f>
        <v>2285.3102903837316</v>
      </c>
      <c r="J26" s="29">
        <f>DCF!K34</f>
        <v>2499.8427405465877</v>
      </c>
      <c r="K26" s="29">
        <f>DCF!L34</f>
        <v>3075.7452041620804</v>
      </c>
      <c r="L26" s="29">
        <f>DCF!M34</f>
        <v>3722.7647768471365</v>
      </c>
    </row>
    <row r="27" spans="2:12">
      <c r="B27" s="15" t="s">
        <v>376</v>
      </c>
      <c r="E27" s="29">
        <f>DCF!F35</f>
        <v>418</v>
      </c>
      <c r="F27" s="29">
        <f>DCF!G35</f>
        <v>392</v>
      </c>
      <c r="G27" s="29">
        <f>DCF!H35</f>
        <v>794</v>
      </c>
      <c r="H27" s="142">
        <f>DCF!I35</f>
        <v>797.96999999999991</v>
      </c>
      <c r="I27" s="29">
        <f>DCF!J35</f>
        <v>801.95984999999985</v>
      </c>
      <c r="J27" s="29">
        <f>DCF!K35</f>
        <v>805.96964924999975</v>
      </c>
      <c r="K27" s="29">
        <f>DCF!L35</f>
        <v>809.99949749624966</v>
      </c>
      <c r="L27" s="29">
        <f>DCF!M35</f>
        <v>814.04949498373082</v>
      </c>
    </row>
    <row r="28" spans="2:12">
      <c r="B28" s="15" t="s">
        <v>377</v>
      </c>
      <c r="E28" s="29">
        <f>DCF!F36</f>
        <v>-328</v>
      </c>
      <c r="F28" s="29">
        <f>DCF!G36</f>
        <v>-263</v>
      </c>
      <c r="G28" s="29">
        <f>DCF!H36</f>
        <v>-296</v>
      </c>
      <c r="H28" s="142">
        <f>DCF!I36</f>
        <v>-290.08</v>
      </c>
      <c r="I28" s="29">
        <f>DCF!J36</f>
        <v>-284.27839999999998</v>
      </c>
      <c r="J28" s="29">
        <f>DCF!K36</f>
        <v>-278.59283199999999</v>
      </c>
      <c r="K28" s="29">
        <f>DCF!L36</f>
        <v>-273.02097535999997</v>
      </c>
      <c r="L28" s="29">
        <f>DCF!M36</f>
        <v>-267.56055585279995</v>
      </c>
    </row>
    <row r="29" spans="2:12">
      <c r="B29" s="15" t="s">
        <v>378</v>
      </c>
      <c r="E29" s="29">
        <f>DCF!F37</f>
        <v>78</v>
      </c>
      <c r="F29" s="29">
        <f>DCF!G37</f>
        <v>-33</v>
      </c>
      <c r="G29" s="29">
        <f>DCF!H37</f>
        <v>-226</v>
      </c>
      <c r="H29" s="142">
        <f>DCF!I37</f>
        <v>168.01189991804313</v>
      </c>
      <c r="I29" s="29">
        <f>DCF!J37</f>
        <v>168.60628759042174</v>
      </c>
      <c r="J29" s="29">
        <f>DCF!K37</f>
        <v>161.04274750416971</v>
      </c>
      <c r="K29" s="29">
        <f>DCF!L37</f>
        <v>237.52834559703115</v>
      </c>
      <c r="L29" s="29">
        <f>DCF!M37</f>
        <v>241.81706322436548</v>
      </c>
    </row>
    <row r="30" spans="2:12">
      <c r="H30" s="141"/>
    </row>
    <row r="31" spans="2:12">
      <c r="B31" s="30" t="s">
        <v>295</v>
      </c>
      <c r="C31" s="30"/>
      <c r="D31" s="30"/>
      <c r="E31" s="31">
        <f>DCF!F38</f>
        <v>142.392</v>
      </c>
      <c r="F31" s="31">
        <f>DCF!G38</f>
        <v>-4551.7809999999999</v>
      </c>
      <c r="G31" s="31">
        <f>DCF!H38</f>
        <v>1148.9740000000002</v>
      </c>
      <c r="H31" s="143">
        <f>DCF!I38</f>
        <v>2954.3325063175012</v>
      </c>
      <c r="I31" s="31">
        <f>DCF!J38</f>
        <v>2971.598027974153</v>
      </c>
      <c r="J31" s="31">
        <f>DCF!K38</f>
        <v>3188.2623053007574</v>
      </c>
      <c r="K31" s="31">
        <f>DCF!L38</f>
        <v>3850.252071895361</v>
      </c>
      <c r="L31" s="31">
        <f>DCF!M38</f>
        <v>4511.0707792024332</v>
      </c>
    </row>
    <row r="32" spans="2:12">
      <c r="H32" s="141"/>
    </row>
    <row r="33" spans="2:12">
      <c r="B33" s="144" t="s">
        <v>380</v>
      </c>
      <c r="C33" s="145"/>
      <c r="D33" s="145"/>
      <c r="E33" s="146"/>
      <c r="F33" s="145"/>
      <c r="G33" s="145"/>
      <c r="H33" s="147">
        <f>H31/(1+$D$10)^1</f>
        <v>2745.7814031326607</v>
      </c>
      <c r="I33" s="148">
        <f>I31/(1+$D$10)^2</f>
        <v>2566.8662158271441</v>
      </c>
      <c r="J33" s="148">
        <f>J31/(1+$D$10)^3</f>
        <v>2559.6100300668468</v>
      </c>
      <c r="K33" s="148">
        <f>K31/(1+$D$10)^4</f>
        <v>2872.8669177582933</v>
      </c>
      <c r="L33" s="149">
        <f>L31/(1+$D$10)^5</f>
        <v>3128.3300942638075</v>
      </c>
    </row>
    <row r="35" spans="2:12" ht="17" thickBot="1">
      <c r="B35" s="150" t="s">
        <v>379</v>
      </c>
      <c r="C35" s="151"/>
      <c r="D35" s="151"/>
      <c r="E35" s="151"/>
      <c r="F35" s="151"/>
      <c r="G35" s="151"/>
      <c r="H35" s="151"/>
      <c r="I35" s="151"/>
      <c r="J35" s="151"/>
      <c r="K35" s="151"/>
      <c r="L35" s="152">
        <f>SUM(H33:L33)</f>
        <v>13873.454661048752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53"/>
  <sheetViews>
    <sheetView showGridLines="0" topLeftCell="A119" workbookViewId="0">
      <selection activeCell="C147" sqref="C147"/>
    </sheetView>
  </sheetViews>
  <sheetFormatPr baseColWidth="10" defaultColWidth="8.83203125" defaultRowHeight="16" outlineLevelRow="1"/>
  <cols>
    <col min="1" max="1" width="4.5" style="15" customWidth="1"/>
    <col min="2" max="2" width="58" style="15" customWidth="1"/>
    <col min="3" max="7" width="14" style="15" customWidth="1"/>
    <col min="8" max="16384" width="8.83203125" style="15"/>
  </cols>
  <sheetData>
    <row r="2" spans="2:7" ht="20">
      <c r="B2" s="183" t="s">
        <v>0</v>
      </c>
      <c r="C2" s="183"/>
      <c r="D2" s="183"/>
      <c r="E2" s="183"/>
      <c r="F2" s="183"/>
      <c r="G2" s="183"/>
    </row>
    <row r="3" spans="2:7">
      <c r="B3" s="184" t="s">
        <v>1</v>
      </c>
      <c r="C3" s="184"/>
      <c r="D3" s="184"/>
      <c r="E3" s="184"/>
      <c r="F3" s="184"/>
      <c r="G3" s="184"/>
    </row>
    <row r="4" spans="2:7">
      <c r="B4" s="16"/>
      <c r="C4" s="16"/>
      <c r="D4" s="16"/>
      <c r="E4" s="16"/>
      <c r="F4" s="16"/>
      <c r="G4" s="16"/>
    </row>
    <row r="5" spans="2:7">
      <c r="B5" s="20" t="s">
        <v>9</v>
      </c>
      <c r="C5" s="21"/>
      <c r="D5" s="21">
        <f>D19/C19-1</f>
        <v>5.4852025467011734E-2</v>
      </c>
      <c r="E5" s="21">
        <f>E19/D19-1</f>
        <v>-1.6647874245539596E-2</v>
      </c>
      <c r="F5" s="21">
        <f>F19/E19-1</f>
        <v>-1.4805072170511302E-2</v>
      </c>
      <c r="G5" s="21">
        <f>G19/F19-1</f>
        <v>-1.1022489987334461E-2</v>
      </c>
    </row>
    <row r="6" spans="2:7">
      <c r="B6" s="20" t="s">
        <v>238</v>
      </c>
      <c r="C6" s="45">
        <f>-C20/C19</f>
        <v>0.62072343105016436</v>
      </c>
      <c r="D6" s="45">
        <f t="shared" ref="D6:G6" si="0">-D20/D19</f>
        <v>0.65812164223651926</v>
      </c>
      <c r="E6" s="45">
        <f t="shared" si="0"/>
        <v>0.67506407662215029</v>
      </c>
      <c r="F6" s="45">
        <f t="shared" si="0"/>
        <v>0.66535446547769828</v>
      </c>
      <c r="G6" s="45">
        <f t="shared" si="0"/>
        <v>0.68170018344813266</v>
      </c>
    </row>
    <row r="7" spans="2:7">
      <c r="B7" s="20" t="s">
        <v>239</v>
      </c>
      <c r="C7" s="45">
        <f>-C22/C19</f>
        <v>0.22381585391450359</v>
      </c>
      <c r="D7" s="45">
        <f t="shared" ref="D7:G7" si="1">-D22/D19</f>
        <v>0.23323605491808716</v>
      </c>
      <c r="E7" s="45">
        <f t="shared" si="1"/>
        <v>0.24433427762039661</v>
      </c>
      <c r="F7" s="45">
        <f t="shared" si="1"/>
        <v>0.22791223085612569</v>
      </c>
      <c r="G7" s="45">
        <f t="shared" si="1"/>
        <v>0.21183067391229102</v>
      </c>
    </row>
    <row r="8" spans="2:7">
      <c r="B8" s="20" t="s">
        <v>240</v>
      </c>
      <c r="C8" s="45">
        <f>-C23/C57</f>
        <v>0.22465437788018433</v>
      </c>
      <c r="D8" s="45">
        <f t="shared" ref="D8:G8" si="2">-D23/D57</f>
        <v>0.21452894438138478</v>
      </c>
      <c r="E8" s="45">
        <f t="shared" si="2"/>
        <v>0.25090036014405764</v>
      </c>
      <c r="F8" s="45">
        <f t="shared" si="2"/>
        <v>0.25031928480204341</v>
      </c>
      <c r="G8" s="45">
        <f t="shared" si="2"/>
        <v>0.36173120728929387</v>
      </c>
    </row>
    <row r="9" spans="2:7">
      <c r="B9" s="20" t="s">
        <v>241</v>
      </c>
      <c r="C9" s="45">
        <f>-C30/(C71+C75)</f>
        <v>5.5677903890677054E-2</v>
      </c>
      <c r="D9" s="45">
        <f t="shared" ref="D9:G9" si="3">-D30/(D71+D75)</f>
        <v>5.8752997601918468E-2</v>
      </c>
      <c r="E9" s="45">
        <f t="shared" si="3"/>
        <v>6.3005067798931655E-2</v>
      </c>
      <c r="F9" s="45">
        <f t="shared" si="3"/>
        <v>5.930625474105234E-2</v>
      </c>
      <c r="G9" s="45">
        <f t="shared" si="3"/>
        <v>6.4577536974666866E-2</v>
      </c>
    </row>
    <row r="10" spans="2:7">
      <c r="B10" s="20" t="s">
        <v>242</v>
      </c>
      <c r="C10" s="48">
        <f>C52/C19*365</f>
        <v>89.175120688448899</v>
      </c>
      <c r="D10" s="48">
        <f t="shared" ref="D10:G10" si="4">D52/D19*365</f>
        <v>89.718776945015577</v>
      </c>
      <c r="E10" s="48">
        <f t="shared" si="4"/>
        <v>87.581782004586529</v>
      </c>
      <c r="F10" s="48">
        <f t="shared" si="4"/>
        <v>86.461506863382738</v>
      </c>
      <c r="G10" s="48">
        <f t="shared" si="4"/>
        <v>83.571873593852757</v>
      </c>
    </row>
    <row r="11" spans="2:7">
      <c r="B11" s="20" t="s">
        <v>244</v>
      </c>
      <c r="C11" s="48">
        <f>C53/-C20*365</f>
        <v>30.937781785392247</v>
      </c>
      <c r="D11" s="48">
        <f t="shared" ref="D11:G11" si="5">D53/-D20*365</f>
        <v>24.682791635172588</v>
      </c>
      <c r="E11" s="48">
        <f t="shared" si="5"/>
        <v>25.783583953639408</v>
      </c>
      <c r="F11" s="48">
        <f t="shared" si="5"/>
        <v>26.834645264186861</v>
      </c>
      <c r="G11" s="48">
        <f t="shared" si="5"/>
        <v>27.076161462300075</v>
      </c>
    </row>
    <row r="12" spans="2:7">
      <c r="B12" s="20" t="s">
        <v>243</v>
      </c>
      <c r="C12" s="48">
        <f>C66/-C20*365</f>
        <v>16.456266907123535</v>
      </c>
      <c r="D12" s="48">
        <f t="shared" ref="D12:G12" si="6">D66/-D20*365</f>
        <v>25.804736709498613</v>
      </c>
      <c r="E12" s="48">
        <f t="shared" si="6"/>
        <v>20.057950741869412</v>
      </c>
      <c r="F12" s="48">
        <f t="shared" si="6"/>
        <v>17.896023048824407</v>
      </c>
      <c r="G12" s="48">
        <f t="shared" si="6"/>
        <v>16.790555978674789</v>
      </c>
    </row>
    <row r="13" spans="2:7">
      <c r="B13" s="15" t="s">
        <v>245</v>
      </c>
      <c r="C13" s="41">
        <f>C119</f>
        <v>-354</v>
      </c>
      <c r="D13" s="41">
        <f t="shared" ref="D13:G13" si="7">D119</f>
        <v>-358</v>
      </c>
      <c r="E13" s="41">
        <f t="shared" si="7"/>
        <v>-328</v>
      </c>
      <c r="F13" s="41">
        <f t="shared" si="7"/>
        <v>-263</v>
      </c>
      <c r="G13" s="41">
        <f t="shared" si="7"/>
        <v>-296</v>
      </c>
    </row>
    <row r="14" spans="2:7" ht="17" customHeight="1">
      <c r="B14" s="20" t="s">
        <v>279</v>
      </c>
      <c r="C14" s="47">
        <f>-C36/C35</f>
        <v>0.12408759124087591</v>
      </c>
      <c r="D14" s="47">
        <f t="shared" ref="D14:F14" si="8">-D36/D35</f>
        <v>0.17930489731437599</v>
      </c>
      <c r="E14" s="47">
        <f t="shared" si="8"/>
        <v>0.28810853950518756</v>
      </c>
      <c r="F14" s="47">
        <f t="shared" si="8"/>
        <v>4.9376720090658896E-2</v>
      </c>
      <c r="G14" s="47">
        <f>G36/G35</f>
        <v>4.25</v>
      </c>
    </row>
    <row r="15" spans="2:7">
      <c r="B15" s="20"/>
      <c r="C15" s="46"/>
      <c r="D15" s="46"/>
      <c r="E15" s="46"/>
      <c r="F15" s="46"/>
      <c r="G15" s="46"/>
    </row>
    <row r="17" spans="2:7">
      <c r="B17" s="17"/>
      <c r="C17" s="17" t="s">
        <v>2</v>
      </c>
      <c r="D17" s="17" t="s">
        <v>3</v>
      </c>
      <c r="E17" s="17" t="s">
        <v>4</v>
      </c>
      <c r="F17" s="17" t="s">
        <v>5</v>
      </c>
      <c r="G17" s="18" t="s">
        <v>6</v>
      </c>
    </row>
    <row r="18" spans="2:7" ht="20">
      <c r="B18" s="183" t="s">
        <v>7</v>
      </c>
      <c r="C18" s="183"/>
      <c r="D18" s="183"/>
      <c r="E18" s="183"/>
      <c r="F18" s="183"/>
      <c r="G18" s="183"/>
    </row>
    <row r="19" spans="2:7" outlineLevel="1">
      <c r="B19" s="15" t="s">
        <v>8</v>
      </c>
      <c r="C19" s="19">
        <v>28586</v>
      </c>
      <c r="D19" s="19">
        <v>30154</v>
      </c>
      <c r="E19" s="19">
        <v>29652</v>
      </c>
      <c r="F19" s="19">
        <v>29213</v>
      </c>
      <c r="G19" s="19">
        <v>28891</v>
      </c>
    </row>
    <row r="20" spans="2:7" outlineLevel="1">
      <c r="B20" s="15" t="s">
        <v>10</v>
      </c>
      <c r="C20" s="19">
        <v>-17744</v>
      </c>
      <c r="D20" s="19">
        <v>-19845</v>
      </c>
      <c r="E20" s="19">
        <v>-20017</v>
      </c>
      <c r="F20" s="19">
        <v>-19437</v>
      </c>
      <c r="G20" s="19">
        <v>-19695</v>
      </c>
    </row>
    <row r="21" spans="2:7" outlineLevel="1">
      <c r="B21" s="15" t="s">
        <v>11</v>
      </c>
      <c r="C21" s="19">
        <v>0</v>
      </c>
      <c r="D21" s="19">
        <v>0</v>
      </c>
      <c r="E21" s="19">
        <v>-2371</v>
      </c>
      <c r="F21" s="19">
        <v>-1118</v>
      </c>
      <c r="G21" s="19">
        <v>-41</v>
      </c>
    </row>
    <row r="22" spans="2:7" outlineLevel="1">
      <c r="B22" s="15" t="s">
        <v>12</v>
      </c>
      <c r="C22" s="19">
        <v>-6398</v>
      </c>
      <c r="D22" s="19">
        <v>-7033</v>
      </c>
      <c r="E22" s="19">
        <v>-7245</v>
      </c>
      <c r="F22" s="19">
        <v>-6658</v>
      </c>
      <c r="G22" s="19">
        <v>-6120</v>
      </c>
    </row>
    <row r="23" spans="2:7" outlineLevel="1">
      <c r="B23" s="15" t="s">
        <v>13</v>
      </c>
      <c r="C23" s="19">
        <v>-390</v>
      </c>
      <c r="D23" s="19">
        <v>-378</v>
      </c>
      <c r="E23" s="19">
        <v>-418</v>
      </c>
      <c r="F23" s="19">
        <v>-392</v>
      </c>
      <c r="G23" s="19">
        <v>-794</v>
      </c>
    </row>
    <row r="24" spans="2:7" outlineLevel="1">
      <c r="B24" s="15" t="s">
        <v>14</v>
      </c>
      <c r="C24" s="19">
        <v>0</v>
      </c>
      <c r="D24" s="19">
        <v>-27</v>
      </c>
      <c r="E24" s="19">
        <v>-83</v>
      </c>
      <c r="F24" s="19">
        <v>-6130</v>
      </c>
      <c r="G24" s="19">
        <v>-157</v>
      </c>
    </row>
    <row r="25" spans="2:7" outlineLevel="1">
      <c r="B25" s="15" t="s">
        <v>15</v>
      </c>
      <c r="C25" s="19">
        <v>-100</v>
      </c>
      <c r="D25" s="19">
        <v>-585</v>
      </c>
      <c r="E25" s="19">
        <v>31</v>
      </c>
      <c r="F25" s="19">
        <v>-747</v>
      </c>
      <c r="G25" s="19">
        <v>-1185</v>
      </c>
    </row>
    <row r="26" spans="2:7" outlineLevel="1">
      <c r="B26" s="22" t="s">
        <v>16</v>
      </c>
      <c r="C26" s="23">
        <f>SUM(C20:C25)</f>
        <v>-24632</v>
      </c>
      <c r="D26" s="23">
        <f>SUM(D20:D25)</f>
        <v>-27868</v>
      </c>
      <c r="E26" s="23">
        <f>SUM(E20:E25)</f>
        <v>-30103</v>
      </c>
      <c r="F26" s="23">
        <f>SUM(F20:F25)</f>
        <v>-34482</v>
      </c>
      <c r="G26" s="23">
        <f>SUM(G20:G25)</f>
        <v>-27992</v>
      </c>
    </row>
    <row r="27" spans="2:7" outlineLevel="1">
      <c r="B27" s="15" t="s">
        <v>17</v>
      </c>
      <c r="C27" s="19">
        <v>2343</v>
      </c>
      <c r="D27" s="19">
        <v>56</v>
      </c>
      <c r="E27" s="19">
        <v>0</v>
      </c>
      <c r="F27" s="19">
        <v>0</v>
      </c>
      <c r="G27" s="19">
        <v>35</v>
      </c>
    </row>
    <row r="28" spans="2:7" outlineLevel="1">
      <c r="B28" s="22" t="s">
        <v>18</v>
      </c>
      <c r="C28" s="23">
        <f>C19+C26+C27</f>
        <v>6297</v>
      </c>
      <c r="D28" s="23">
        <f>D19+D26+D27</f>
        <v>2342</v>
      </c>
      <c r="E28" s="23">
        <f>E19+E26+E27</f>
        <v>-451</v>
      </c>
      <c r="F28" s="23">
        <f>F19+F26+F27</f>
        <v>-5269</v>
      </c>
      <c r="G28" s="23">
        <f>G19+G26+G27</f>
        <v>934</v>
      </c>
    </row>
    <row r="29" spans="2:7" outlineLevel="1">
      <c r="B29" s="20" t="s">
        <v>19</v>
      </c>
      <c r="C29" s="21">
        <f>C28/C19</f>
        <v>0.22028265584551879</v>
      </c>
      <c r="D29" s="21">
        <f>D28/D19</f>
        <v>7.7667971081780196E-2</v>
      </c>
      <c r="E29" s="21">
        <f>E28/E19</f>
        <v>-1.520976662619722E-2</v>
      </c>
      <c r="F29" s="21">
        <f>F28/F19</f>
        <v>-0.18036490603498442</v>
      </c>
      <c r="G29" s="21">
        <f>G28/G19</f>
        <v>3.232840677027448E-2</v>
      </c>
    </row>
    <row r="30" spans="2:7" outlineLevel="1">
      <c r="B30" s="15" t="s">
        <v>20</v>
      </c>
      <c r="C30" s="19">
        <v>-986</v>
      </c>
      <c r="D30" s="19">
        <v>-931</v>
      </c>
      <c r="E30" s="19">
        <v>-920</v>
      </c>
      <c r="F30" s="19">
        <v>-860</v>
      </c>
      <c r="G30" s="19">
        <v>-882</v>
      </c>
    </row>
    <row r="31" spans="2:7" outlineLevel="1">
      <c r="B31" s="15" t="s">
        <v>21</v>
      </c>
      <c r="C31" s="19">
        <v>53</v>
      </c>
      <c r="D31" s="19">
        <v>108</v>
      </c>
      <c r="E31" s="19">
        <v>137</v>
      </c>
      <c r="F31" s="19">
        <v>151</v>
      </c>
      <c r="G31" s="19">
        <v>147</v>
      </c>
    </row>
    <row r="32" spans="2:7" outlineLevel="1">
      <c r="B32" s="15" t="s">
        <v>22</v>
      </c>
      <c r="C32" s="19">
        <v>47</v>
      </c>
      <c r="D32" s="19">
        <v>-9</v>
      </c>
      <c r="E32" s="19">
        <v>168</v>
      </c>
      <c r="F32" s="19">
        <v>-17</v>
      </c>
      <c r="G32" s="19">
        <v>-40</v>
      </c>
    </row>
    <row r="33" spans="2:7" outlineLevel="1">
      <c r="B33" s="15" t="s">
        <v>23</v>
      </c>
      <c r="C33" s="19">
        <v>-128</v>
      </c>
      <c r="D33" s="19">
        <v>-120</v>
      </c>
      <c r="E33" s="19">
        <v>29</v>
      </c>
      <c r="F33" s="19">
        <v>0</v>
      </c>
      <c r="G33" s="19">
        <v>0</v>
      </c>
    </row>
    <row r="34" spans="2:7" outlineLevel="1">
      <c r="B34" s="15" t="s">
        <v>24</v>
      </c>
      <c r="C34" s="19">
        <v>-77</v>
      </c>
      <c r="D34" s="19">
        <v>-124</v>
      </c>
      <c r="E34" s="19">
        <v>-216</v>
      </c>
      <c r="F34" s="19">
        <v>-182</v>
      </c>
      <c r="G34" s="19">
        <v>-131</v>
      </c>
    </row>
    <row r="35" spans="2:7" outlineLevel="1">
      <c r="B35" s="22" t="s">
        <v>25</v>
      </c>
      <c r="C35" s="23">
        <f>SUM(C28,C30:C34)</f>
        <v>5206</v>
      </c>
      <c r="D35" s="23">
        <f>SUM(D28,D30:D34)</f>
        <v>1266</v>
      </c>
      <c r="E35" s="23">
        <f>SUM(E28,E30:E34)</f>
        <v>-1253</v>
      </c>
      <c r="F35" s="23">
        <f>SUM(F28,F30:F34)</f>
        <v>-6177</v>
      </c>
      <c r="G35" s="23">
        <f>SUM(G28,G30:G34)</f>
        <v>28</v>
      </c>
    </row>
    <row r="36" spans="2:7" outlineLevel="1">
      <c r="B36" s="15" t="s">
        <v>26</v>
      </c>
      <c r="C36" s="19">
        <v>-646</v>
      </c>
      <c r="D36" s="19">
        <v>-227</v>
      </c>
      <c r="E36" s="19">
        <v>361</v>
      </c>
      <c r="F36" s="19">
        <v>305</v>
      </c>
      <c r="G36" s="19">
        <v>119</v>
      </c>
    </row>
    <row r="37" spans="2:7" outlineLevel="1">
      <c r="B37" s="15" t="s">
        <v>27</v>
      </c>
      <c r="C37" s="19">
        <v>-91</v>
      </c>
      <c r="D37" s="19">
        <v>-204</v>
      </c>
      <c r="E37" s="19">
        <v>-360</v>
      </c>
      <c r="F37" s="19">
        <v>-291</v>
      </c>
      <c r="G37" s="19">
        <v>-275</v>
      </c>
    </row>
    <row r="38" spans="2:7" outlineLevel="1">
      <c r="B38" s="22" t="s">
        <v>28</v>
      </c>
      <c r="C38" s="23">
        <f>SUM(C35:C37)</f>
        <v>4469</v>
      </c>
      <c r="D38" s="23">
        <f>SUM(D35:D37)</f>
        <v>835</v>
      </c>
      <c r="E38" s="23">
        <f>SUM(E35:E37)</f>
        <v>-1252</v>
      </c>
      <c r="F38" s="23">
        <f>SUM(F35:F37)</f>
        <v>-6163</v>
      </c>
      <c r="G38" s="23">
        <f>SUM(G35:G37)</f>
        <v>-128</v>
      </c>
    </row>
    <row r="39" spans="2:7" outlineLevel="1">
      <c r="B39" s="15" t="s">
        <v>29</v>
      </c>
      <c r="C39" s="19">
        <v>162</v>
      </c>
      <c r="D39" s="19">
        <v>379</v>
      </c>
      <c r="E39" s="19">
        <v>676</v>
      </c>
      <c r="F39" s="19">
        <v>14</v>
      </c>
      <c r="G39" s="19">
        <v>0</v>
      </c>
    </row>
    <row r="40" spans="2:7" outlineLevel="1">
      <c r="B40" s="22" t="s">
        <v>30</v>
      </c>
      <c r="C40" s="23">
        <f>C38+C39</f>
        <v>4631</v>
      </c>
      <c r="D40" s="23">
        <f>D38+D39</f>
        <v>1214</v>
      </c>
      <c r="E40" s="23">
        <f>E38+E39</f>
        <v>-576</v>
      </c>
      <c r="F40" s="23">
        <f>F38+F39</f>
        <v>-6149</v>
      </c>
      <c r="G40" s="23">
        <f>G38+G39</f>
        <v>-128</v>
      </c>
    </row>
    <row r="41" spans="2:7" outlineLevel="1">
      <c r="B41" s="15" t="s">
        <v>31</v>
      </c>
      <c r="C41" s="19">
        <v>-88</v>
      </c>
      <c r="D41" s="19">
        <v>-110</v>
      </c>
      <c r="E41" s="19">
        <v>-32</v>
      </c>
      <c r="F41" s="19">
        <v>-41</v>
      </c>
      <c r="G41" s="19">
        <v>-493</v>
      </c>
    </row>
    <row r="42" spans="2:7" outlineLevel="1">
      <c r="B42" s="22" t="s">
        <v>32</v>
      </c>
      <c r="C42" s="23">
        <f>C40+C41</f>
        <v>4543</v>
      </c>
      <c r="D42" s="23">
        <f>D40+D41</f>
        <v>1104</v>
      </c>
      <c r="E42" s="23">
        <f>E40+E41</f>
        <v>-608</v>
      </c>
      <c r="F42" s="23">
        <f>F40+F41</f>
        <v>-6190</v>
      </c>
      <c r="G42" s="23">
        <f>G40+G41</f>
        <v>-621</v>
      </c>
    </row>
    <row r="43" spans="2:7" outlineLevel="1">
      <c r="B43" s="20" t="s">
        <v>33</v>
      </c>
      <c r="C43" s="21">
        <f>C42/C19</f>
        <v>0.15892394878611907</v>
      </c>
      <c r="D43" s="21">
        <f>D42/D19</f>
        <v>3.661205810174438E-2</v>
      </c>
      <c r="E43" s="21">
        <f>E42/E19</f>
        <v>-2.0504519088088494E-2</v>
      </c>
      <c r="F43" s="21">
        <f>F42/F19</f>
        <v>-0.21189196590558998</v>
      </c>
      <c r="G43" s="21">
        <f>G42/G19</f>
        <v>-2.1494583088158943E-2</v>
      </c>
    </row>
    <row r="44" spans="2:7" outlineLevel="1">
      <c r="B44" s="15" t="s">
        <v>34</v>
      </c>
      <c r="C44" s="24">
        <v>7.02</v>
      </c>
      <c r="D44" s="24">
        <v>1.61</v>
      </c>
      <c r="E44" s="24">
        <v>-1.02</v>
      </c>
      <c r="F44" s="24">
        <v>-9.34</v>
      </c>
      <c r="G44" s="24"/>
    </row>
    <row r="45" spans="2:7" outlineLevel="1">
      <c r="B45" s="15" t="s">
        <v>35</v>
      </c>
      <c r="C45" s="24">
        <v>6.94</v>
      </c>
      <c r="D45" s="24">
        <v>1.61</v>
      </c>
      <c r="E45" s="24">
        <v>-1.02</v>
      </c>
      <c r="F45" s="24">
        <v>-9.34</v>
      </c>
      <c r="G45" s="24"/>
    </row>
    <row r="46" spans="2:7" outlineLevel="1">
      <c r="B46" s="15" t="s">
        <v>36</v>
      </c>
      <c r="C46" s="19">
        <v>641</v>
      </c>
      <c r="D46" s="19">
        <v>649</v>
      </c>
      <c r="E46" s="19">
        <v>652</v>
      </c>
      <c r="F46" s="19">
        <v>664</v>
      </c>
      <c r="G46" s="19">
        <v>1102</v>
      </c>
    </row>
    <row r="47" spans="2:7" outlineLevel="1">
      <c r="B47" s="15" t="s">
        <v>37</v>
      </c>
      <c r="C47" s="19">
        <v>655</v>
      </c>
      <c r="D47" s="19">
        <v>650</v>
      </c>
      <c r="E47" s="19">
        <v>652</v>
      </c>
      <c r="F47" s="19">
        <v>664</v>
      </c>
      <c r="G47" s="19">
        <v>1102</v>
      </c>
    </row>
    <row r="50" spans="2:7" ht="20">
      <c r="B50" s="183" t="s">
        <v>38</v>
      </c>
      <c r="C50" s="183"/>
      <c r="D50" s="183"/>
      <c r="E50" s="183"/>
      <c r="F50" s="183"/>
      <c r="G50" s="183"/>
    </row>
    <row r="51" spans="2:7" outlineLevel="1">
      <c r="B51" s="15" t="s">
        <v>39</v>
      </c>
      <c r="C51" s="19">
        <v>6267</v>
      </c>
      <c r="D51" s="19">
        <v>2885</v>
      </c>
      <c r="E51" s="19">
        <v>2460</v>
      </c>
      <c r="F51" s="19">
        <v>2661</v>
      </c>
      <c r="G51" s="19">
        <v>3274</v>
      </c>
    </row>
    <row r="52" spans="2:7" outlineLevel="1">
      <c r="B52" s="15" t="s">
        <v>40</v>
      </c>
      <c r="C52" s="19">
        <v>6984</v>
      </c>
      <c r="D52" s="19">
        <v>7412</v>
      </c>
      <c r="E52" s="19">
        <v>7115</v>
      </c>
      <c r="F52" s="19">
        <v>6920</v>
      </c>
      <c r="G52" s="19">
        <v>6615</v>
      </c>
    </row>
    <row r="53" spans="2:7" outlineLevel="1">
      <c r="B53" s="15" t="s">
        <v>41</v>
      </c>
      <c r="C53" s="19">
        <v>1504</v>
      </c>
      <c r="D53" s="19">
        <v>1342</v>
      </c>
      <c r="E53" s="19">
        <v>1414</v>
      </c>
      <c r="F53" s="19">
        <v>1429</v>
      </c>
      <c r="G53" s="19">
        <v>1461</v>
      </c>
    </row>
    <row r="54" spans="2:7" outlineLevel="1">
      <c r="B54" s="15" t="s">
        <v>42</v>
      </c>
      <c r="C54" s="19">
        <v>1176</v>
      </c>
      <c r="D54" s="19">
        <v>1308</v>
      </c>
      <c r="E54" s="19">
        <v>1677</v>
      </c>
      <c r="F54" s="19">
        <v>1532</v>
      </c>
      <c r="G54" s="19">
        <v>1970</v>
      </c>
    </row>
    <row r="55" spans="2:7" outlineLevel="1">
      <c r="B55" s="15" t="s">
        <v>43</v>
      </c>
      <c r="C55" s="19">
        <v>745</v>
      </c>
      <c r="D55" s="19">
        <v>787</v>
      </c>
      <c r="E55" s="19">
        <v>37</v>
      </c>
      <c r="F55" s="19">
        <v>0</v>
      </c>
      <c r="G55" s="19">
        <v>0</v>
      </c>
    </row>
    <row r="56" spans="2:7" outlineLevel="1">
      <c r="B56" s="22" t="s">
        <v>44</v>
      </c>
      <c r="C56" s="23">
        <f>SUM(C51:C55)</f>
        <v>16676</v>
      </c>
      <c r="D56" s="23">
        <f>SUM(D51:D55)</f>
        <v>13734</v>
      </c>
      <c r="E56" s="23">
        <f>SUM(E51:E55)</f>
        <v>12703</v>
      </c>
      <c r="F56" s="23">
        <f>SUM(F51:F55)</f>
        <v>12542</v>
      </c>
      <c r="G56" s="23">
        <f>SUM(G51:G55)</f>
        <v>13320</v>
      </c>
    </row>
    <row r="57" spans="2:7" outlineLevel="1">
      <c r="B57" s="15" t="s">
        <v>45</v>
      </c>
      <c r="C57" s="19">
        <v>1736</v>
      </c>
      <c r="D57" s="19">
        <v>1762</v>
      </c>
      <c r="E57" s="19">
        <v>1666</v>
      </c>
      <c r="F57" s="19">
        <v>1566</v>
      </c>
      <c r="G57" s="19">
        <v>2195</v>
      </c>
    </row>
    <row r="58" spans="2:7" outlineLevel="1">
      <c r="B58" s="15" t="s">
        <v>46</v>
      </c>
      <c r="C58" s="19">
        <v>13358</v>
      </c>
      <c r="D58" s="19">
        <v>16278</v>
      </c>
      <c r="E58" s="19">
        <v>13851</v>
      </c>
      <c r="F58" s="19">
        <v>13924</v>
      </c>
      <c r="G58" s="19">
        <v>15028</v>
      </c>
    </row>
    <row r="59" spans="2:7" outlineLevel="1">
      <c r="B59" s="15" t="s">
        <v>47</v>
      </c>
      <c r="C59" s="19">
        <v>16584</v>
      </c>
      <c r="D59" s="19">
        <v>16499</v>
      </c>
      <c r="E59" s="19">
        <v>16516</v>
      </c>
      <c r="F59" s="19">
        <v>10508</v>
      </c>
      <c r="G59" s="19">
        <v>1600</v>
      </c>
    </row>
    <row r="60" spans="2:7" outlineLevel="1">
      <c r="B60" s="15" t="s">
        <v>48</v>
      </c>
      <c r="C60" s="19">
        <v>2772</v>
      </c>
      <c r="D60" s="19">
        <v>2694</v>
      </c>
      <c r="E60" s="19">
        <v>2589</v>
      </c>
      <c r="F60" s="19">
        <v>2406</v>
      </c>
      <c r="G60" s="19">
        <v>6238</v>
      </c>
    </row>
    <row r="61" spans="2:7" outlineLevel="1">
      <c r="B61" s="15" t="s">
        <v>49</v>
      </c>
      <c r="C61" s="19">
        <v>1630</v>
      </c>
      <c r="D61" s="19">
        <v>1391</v>
      </c>
      <c r="E61" s="19">
        <v>1183</v>
      </c>
      <c r="F61" s="19">
        <v>1012</v>
      </c>
      <c r="G61" s="19">
        <v>1126</v>
      </c>
    </row>
    <row r="62" spans="2:7" outlineLevel="1">
      <c r="B62" s="15" t="s">
        <v>50</v>
      </c>
      <c r="C62" s="19">
        <v>1206</v>
      </c>
      <c r="D62" s="19">
        <v>1242</v>
      </c>
      <c r="E62" s="19">
        <v>1242</v>
      </c>
      <c r="F62" s="19">
        <v>1386</v>
      </c>
      <c r="G62" s="19">
        <v>1282</v>
      </c>
    </row>
    <row r="63" spans="2:7" outlineLevel="1">
      <c r="B63" s="15" t="s">
        <v>51</v>
      </c>
      <c r="C63" s="19">
        <v>3824</v>
      </c>
      <c r="D63" s="19">
        <v>3991</v>
      </c>
      <c r="E63" s="19">
        <v>3793</v>
      </c>
      <c r="F63" s="19">
        <v>2828</v>
      </c>
      <c r="G63" s="19">
        <v>2553</v>
      </c>
    </row>
    <row r="64" spans="2:7" outlineLevel="1">
      <c r="B64" s="15" t="s">
        <v>52</v>
      </c>
      <c r="C64" s="19">
        <v>834</v>
      </c>
      <c r="D64" s="19">
        <v>802</v>
      </c>
      <c r="E64" s="19">
        <v>0</v>
      </c>
      <c r="F64" s="19">
        <v>0</v>
      </c>
      <c r="G64" s="19">
        <v>0</v>
      </c>
    </row>
    <row r="65" spans="2:7" outlineLevel="1">
      <c r="B65" s="22" t="s">
        <v>53</v>
      </c>
      <c r="C65" s="23">
        <f>SUM(C56,C57:C64)</f>
        <v>58620</v>
      </c>
      <c r="D65" s="23">
        <f>SUM(D56,D57:D64)</f>
        <v>58393</v>
      </c>
      <c r="E65" s="23">
        <f>SUM(E56,E57:E64)</f>
        <v>53543</v>
      </c>
      <c r="F65" s="23">
        <f>SUM(F56,F57:F64)</f>
        <v>46172</v>
      </c>
      <c r="G65" s="23">
        <f>SUM(G56,G57:G64)</f>
        <v>43342</v>
      </c>
    </row>
    <row r="66" spans="2:7" outlineLevel="1">
      <c r="B66" s="15" t="s">
        <v>54</v>
      </c>
      <c r="C66" s="19">
        <v>800</v>
      </c>
      <c r="D66" s="19">
        <v>1403</v>
      </c>
      <c r="E66" s="19">
        <v>1100</v>
      </c>
      <c r="F66" s="19">
        <v>953</v>
      </c>
      <c r="G66" s="19">
        <v>906</v>
      </c>
    </row>
    <row r="67" spans="2:7" outlineLevel="1">
      <c r="B67" s="15" t="s">
        <v>55</v>
      </c>
      <c r="C67" s="19">
        <v>2323</v>
      </c>
      <c r="D67" s="19">
        <v>2071</v>
      </c>
      <c r="E67" s="19">
        <v>2104</v>
      </c>
      <c r="F67" s="19">
        <v>2199</v>
      </c>
      <c r="G67" s="19">
        <v>2077</v>
      </c>
    </row>
    <row r="68" spans="2:7" outlineLevel="1">
      <c r="B68" s="15" t="s">
        <v>56</v>
      </c>
      <c r="C68" s="19">
        <v>2159</v>
      </c>
      <c r="D68" s="19">
        <v>2416</v>
      </c>
      <c r="E68" s="19">
        <v>2702</v>
      </c>
      <c r="F68" s="19">
        <v>2574</v>
      </c>
      <c r="G68" s="19">
        <v>2646</v>
      </c>
    </row>
    <row r="69" spans="2:7" outlineLevel="1">
      <c r="B69" s="15" t="s">
        <v>57</v>
      </c>
      <c r="C69" s="19">
        <v>1342</v>
      </c>
      <c r="D69" s="19">
        <v>2063</v>
      </c>
      <c r="E69" s="19">
        <v>1842</v>
      </c>
      <c r="F69" s="19">
        <v>1720</v>
      </c>
      <c r="G69" s="19">
        <v>1832</v>
      </c>
    </row>
    <row r="70" spans="2:7" outlineLevel="1">
      <c r="B70" s="15" t="s">
        <v>58</v>
      </c>
      <c r="C70" s="19">
        <v>1091</v>
      </c>
      <c r="D70" s="19">
        <v>973</v>
      </c>
      <c r="E70" s="19">
        <v>746</v>
      </c>
      <c r="F70" s="19">
        <v>825</v>
      </c>
      <c r="G70" s="19">
        <v>1355</v>
      </c>
    </row>
    <row r="71" spans="2:7" outlineLevel="1">
      <c r="B71" s="15" t="s">
        <v>59</v>
      </c>
      <c r="C71" s="19">
        <v>11</v>
      </c>
      <c r="D71" s="19">
        <v>239</v>
      </c>
      <c r="E71" s="19">
        <v>1</v>
      </c>
      <c r="F71" s="19">
        <v>0</v>
      </c>
      <c r="G71" s="19">
        <v>433</v>
      </c>
    </row>
    <row r="72" spans="2:7" outlineLevel="1">
      <c r="B72" s="15" t="s">
        <v>60</v>
      </c>
      <c r="C72" s="19">
        <v>1182</v>
      </c>
      <c r="D72" s="19">
        <v>1477</v>
      </c>
      <c r="E72" s="19">
        <v>1153</v>
      </c>
      <c r="F72" s="19">
        <v>1360</v>
      </c>
      <c r="G72" s="19">
        <v>1350</v>
      </c>
    </row>
    <row r="73" spans="2:7" outlineLevel="1">
      <c r="B73" s="15" t="s">
        <v>61</v>
      </c>
      <c r="C73" s="19">
        <v>571</v>
      </c>
      <c r="D73" s="19">
        <v>549</v>
      </c>
      <c r="E73" s="19">
        <v>8</v>
      </c>
      <c r="F73" s="19">
        <v>0</v>
      </c>
      <c r="G73" s="19">
        <v>0</v>
      </c>
    </row>
    <row r="74" spans="2:7" outlineLevel="1">
      <c r="B74" s="22" t="s">
        <v>62</v>
      </c>
      <c r="C74" s="23">
        <f>SUM(C66:C73)</f>
        <v>9479</v>
      </c>
      <c r="D74" s="23">
        <f>SUM(D66:D73)</f>
        <v>11191</v>
      </c>
      <c r="E74" s="23">
        <f>SUM(E66:E73)</f>
        <v>9656</v>
      </c>
      <c r="F74" s="23">
        <f>SUM(F66:F73)</f>
        <v>9631</v>
      </c>
      <c r="G74" s="23">
        <f>SUM(G66:G73)</f>
        <v>10599</v>
      </c>
    </row>
    <row r="75" spans="2:7" outlineLevel="1">
      <c r="B75" s="15" t="s">
        <v>63</v>
      </c>
      <c r="C75" s="19">
        <v>17698</v>
      </c>
      <c r="D75" s="19">
        <v>15607</v>
      </c>
      <c r="E75" s="19">
        <v>14601</v>
      </c>
      <c r="F75" s="19">
        <v>14501</v>
      </c>
      <c r="G75" s="19">
        <v>13225</v>
      </c>
    </row>
    <row r="76" spans="2:7" outlineLevel="1">
      <c r="B76" s="15" t="s">
        <v>64</v>
      </c>
      <c r="C76" s="19">
        <v>1244</v>
      </c>
      <c r="D76" s="19">
        <v>1744</v>
      </c>
      <c r="E76" s="19">
        <v>1394</v>
      </c>
      <c r="F76" s="19">
        <v>1310</v>
      </c>
      <c r="G76" s="19">
        <v>1361</v>
      </c>
    </row>
    <row r="77" spans="2:7" outlineLevel="1">
      <c r="B77" s="15" t="s">
        <v>65</v>
      </c>
      <c r="C77" s="19">
        <v>1946</v>
      </c>
      <c r="D77" s="19">
        <v>1458</v>
      </c>
      <c r="E77" s="19">
        <v>1337</v>
      </c>
      <c r="F77" s="19">
        <v>1226</v>
      </c>
      <c r="G77" s="19">
        <v>1185</v>
      </c>
    </row>
    <row r="78" spans="2:7" outlineLevel="1">
      <c r="B78" s="15" t="s">
        <v>66</v>
      </c>
      <c r="C78" s="19">
        <v>1063</v>
      </c>
      <c r="D78" s="19">
        <v>1077</v>
      </c>
      <c r="E78" s="19">
        <v>503</v>
      </c>
      <c r="F78" s="19">
        <v>34</v>
      </c>
      <c r="G78" s="19">
        <v>85</v>
      </c>
    </row>
    <row r="79" spans="2:7" outlineLevel="1">
      <c r="B79" s="15" t="s">
        <v>67</v>
      </c>
      <c r="C79" s="19">
        <v>1598</v>
      </c>
      <c r="D79" s="19">
        <v>1428</v>
      </c>
      <c r="E79" s="19">
        <v>1256</v>
      </c>
      <c r="F79" s="19">
        <v>1048</v>
      </c>
      <c r="G79" s="19">
        <v>1150</v>
      </c>
    </row>
    <row r="80" spans="2:7" outlineLevel="1">
      <c r="B80" s="15" t="s">
        <v>68</v>
      </c>
      <c r="C80" s="19">
        <v>404</v>
      </c>
      <c r="D80" s="19">
        <v>367</v>
      </c>
      <c r="E80" s="19">
        <v>204</v>
      </c>
      <c r="F80" s="19">
        <v>260</v>
      </c>
      <c r="G80" s="19">
        <v>400</v>
      </c>
    </row>
    <row r="81" spans="2:8" outlineLevel="1">
      <c r="B81" s="15" t="s">
        <v>69</v>
      </c>
      <c r="C81" s="19">
        <v>1898</v>
      </c>
      <c r="D81" s="19">
        <v>1715</v>
      </c>
      <c r="E81" s="19">
        <v>1534</v>
      </c>
      <c r="F81" s="19">
        <v>1380</v>
      </c>
      <c r="G81" s="19">
        <v>2450</v>
      </c>
    </row>
    <row r="82" spans="2:8" outlineLevel="1">
      <c r="B82" s="15" t="s">
        <v>70</v>
      </c>
      <c r="C82" s="19">
        <v>213</v>
      </c>
      <c r="D82" s="19">
        <v>200</v>
      </c>
      <c r="E82" s="19">
        <v>8</v>
      </c>
      <c r="F82" s="19">
        <v>0</v>
      </c>
      <c r="G82" s="19">
        <v>0</v>
      </c>
    </row>
    <row r="83" spans="2:8" outlineLevel="1">
      <c r="B83" s="15" t="s">
        <v>71</v>
      </c>
      <c r="C83" s="19">
        <v>107</v>
      </c>
      <c r="D83" s="19">
        <v>0</v>
      </c>
      <c r="E83" s="19">
        <v>0</v>
      </c>
      <c r="F83" s="19">
        <v>0</v>
      </c>
      <c r="G83" s="19">
        <v>0</v>
      </c>
    </row>
    <row r="84" spans="2:8" outlineLevel="1">
      <c r="B84" s="22" t="s">
        <v>72</v>
      </c>
      <c r="C84" s="23">
        <f>SUM(C74,C75:C83)</f>
        <v>35650</v>
      </c>
      <c r="D84" s="23">
        <f>SUM(D74,D75:D83)</f>
        <v>34787</v>
      </c>
      <c r="E84" s="23">
        <f>SUM(E74,E75:E83)</f>
        <v>30493</v>
      </c>
      <c r="F84" s="23">
        <f>SUM(F74,F75:F83)</f>
        <v>29390</v>
      </c>
      <c r="G84" s="23">
        <f>SUM(G74,G75:G83)</f>
        <v>30455</v>
      </c>
    </row>
    <row r="85" spans="2:8" outlineLevel="1">
      <c r="B85" s="15" t="s">
        <v>73</v>
      </c>
      <c r="C85" s="19">
        <v>1</v>
      </c>
      <c r="D85" s="19">
        <v>1</v>
      </c>
      <c r="E85" s="19">
        <v>1</v>
      </c>
      <c r="F85" s="19">
        <v>1</v>
      </c>
      <c r="G85" s="19">
        <v>1</v>
      </c>
    </row>
    <row r="86" spans="2:8" outlineLevel="1">
      <c r="B86" s="15" t="s">
        <v>74</v>
      </c>
      <c r="C86" s="19">
        <v>32918</v>
      </c>
      <c r="D86" s="19">
        <v>33063</v>
      </c>
      <c r="E86" s="19">
        <v>33210</v>
      </c>
      <c r="F86" s="19">
        <v>33394</v>
      </c>
      <c r="G86" s="19">
        <v>13386</v>
      </c>
    </row>
    <row r="87" spans="2:8" outlineLevel="1">
      <c r="B87" s="15" t="s">
        <v>75</v>
      </c>
      <c r="C87" s="19">
        <v>-22958</v>
      </c>
      <c r="D87" s="19">
        <v>-22958</v>
      </c>
      <c r="E87" s="19">
        <v>-22958</v>
      </c>
      <c r="F87" s="19">
        <v>-22958</v>
      </c>
      <c r="G87" s="19">
        <v>0</v>
      </c>
    </row>
    <row r="88" spans="2:8" outlineLevel="1">
      <c r="B88" s="15" t="s">
        <v>76</v>
      </c>
      <c r="C88" s="19">
        <v>14343</v>
      </c>
      <c r="D88" s="19">
        <v>14737</v>
      </c>
      <c r="E88" s="19">
        <v>13829</v>
      </c>
      <c r="F88" s="19">
        <v>7487</v>
      </c>
      <c r="G88" s="19">
        <v>-1753</v>
      </c>
      <c r="H88" s="41"/>
    </row>
    <row r="89" spans="2:8" outlineLevel="1">
      <c r="B89" s="15" t="s">
        <v>77</v>
      </c>
      <c r="C89" s="19">
        <v>-1902</v>
      </c>
      <c r="D89" s="19">
        <v>-1807</v>
      </c>
      <c r="E89" s="19">
        <v>-1556</v>
      </c>
      <c r="F89" s="19">
        <v>-1604</v>
      </c>
      <c r="G89" s="19">
        <v>59</v>
      </c>
    </row>
    <row r="90" spans="2:8" outlineLevel="1">
      <c r="B90" s="22" t="s">
        <v>78</v>
      </c>
      <c r="C90" s="23">
        <f>SUM(C85:C89)</f>
        <v>22402</v>
      </c>
      <c r="D90" s="23">
        <f>SUM(D85:D89)</f>
        <v>23036</v>
      </c>
      <c r="E90" s="23">
        <f>SUM(E85:E89)</f>
        <v>22526</v>
      </c>
      <c r="F90" s="23">
        <f>SUM(F85:F89)</f>
        <v>16320</v>
      </c>
      <c r="G90" s="23">
        <f>SUM(G85:G89)</f>
        <v>11693</v>
      </c>
    </row>
    <row r="91" spans="2:8" outlineLevel="1">
      <c r="B91" s="15" t="s">
        <v>79</v>
      </c>
      <c r="C91" s="19">
        <v>568</v>
      </c>
      <c r="D91" s="19">
        <v>570</v>
      </c>
      <c r="E91" s="19">
        <v>524</v>
      </c>
      <c r="F91" s="19">
        <v>462</v>
      </c>
      <c r="G91" s="19">
        <v>1194</v>
      </c>
    </row>
    <row r="92" spans="2:8" outlineLevel="1">
      <c r="B92" s="22" t="s">
        <v>80</v>
      </c>
      <c r="C92" s="23">
        <f>C90+C91</f>
        <v>22970</v>
      </c>
      <c r="D92" s="23">
        <f>D90+D91</f>
        <v>23606</v>
      </c>
      <c r="E92" s="23">
        <f>E90+E91</f>
        <v>23050</v>
      </c>
      <c r="F92" s="23">
        <f>F90+F91</f>
        <v>16782</v>
      </c>
      <c r="G92" s="23">
        <f>G90+G91</f>
        <v>12887</v>
      </c>
    </row>
    <row r="93" spans="2:8" outlineLevel="1">
      <c r="B93" s="22" t="s">
        <v>81</v>
      </c>
      <c r="C93" s="23">
        <f>C84+C92</f>
        <v>58620</v>
      </c>
      <c r="D93" s="23">
        <f>D84+D92</f>
        <v>58393</v>
      </c>
      <c r="E93" s="23">
        <f>E84+E92</f>
        <v>53543</v>
      </c>
      <c r="F93" s="23">
        <f>F84+F92</f>
        <v>46172</v>
      </c>
      <c r="G93" s="23">
        <f>G84+G92</f>
        <v>43342</v>
      </c>
    </row>
    <row r="94" spans="2:8" outlineLevel="1">
      <c r="B94" s="22" t="s">
        <v>82</v>
      </c>
      <c r="C94" s="23">
        <f>C65-C93</f>
        <v>0</v>
      </c>
      <c r="D94" s="23">
        <f>D65-D93</f>
        <v>0</v>
      </c>
      <c r="E94" s="23">
        <f>E65-E93</f>
        <v>0</v>
      </c>
      <c r="F94" s="23">
        <f>F65-F93</f>
        <v>0</v>
      </c>
      <c r="G94" s="23">
        <f>G65-G93</f>
        <v>0</v>
      </c>
    </row>
    <row r="97" spans="2:7" ht="20">
      <c r="B97" s="183" t="s">
        <v>83</v>
      </c>
      <c r="C97" s="183"/>
      <c r="D97" s="183"/>
      <c r="E97" s="183"/>
      <c r="F97" s="183"/>
      <c r="G97" s="183"/>
    </row>
    <row r="98" spans="2:7" outlineLevel="1">
      <c r="B98" s="15" t="s">
        <v>84</v>
      </c>
      <c r="C98" s="19">
        <v>4469</v>
      </c>
      <c r="D98" s="19">
        <v>835</v>
      </c>
      <c r="E98" s="19">
        <v>-1252</v>
      </c>
      <c r="F98" s="19">
        <v>-6163</v>
      </c>
      <c r="G98" s="19">
        <v>-128</v>
      </c>
    </row>
    <row r="99" spans="2:7" outlineLevel="1">
      <c r="B99" s="15" t="s">
        <v>11</v>
      </c>
      <c r="C99" s="19">
        <v>0</v>
      </c>
      <c r="D99" s="19">
        <v>0</v>
      </c>
      <c r="E99" s="19">
        <v>2371</v>
      </c>
      <c r="F99" s="19">
        <v>1118</v>
      </c>
      <c r="G99" s="19">
        <v>41</v>
      </c>
    </row>
    <row r="100" spans="2:7" outlineLevel="1">
      <c r="B100" s="15" t="s">
        <v>13</v>
      </c>
      <c r="C100" s="19">
        <v>390</v>
      </c>
      <c r="D100" s="19">
        <v>378</v>
      </c>
      <c r="E100" s="19">
        <v>418</v>
      </c>
      <c r="F100" s="19">
        <v>392</v>
      </c>
      <c r="G100" s="19">
        <v>794</v>
      </c>
    </row>
    <row r="101" spans="2:7" outlineLevel="1">
      <c r="B101" s="15" t="s">
        <v>14</v>
      </c>
      <c r="C101" s="19">
        <v>0</v>
      </c>
      <c r="D101" s="19">
        <v>27</v>
      </c>
      <c r="E101" s="19">
        <v>83</v>
      </c>
      <c r="F101" s="19">
        <v>6130</v>
      </c>
      <c r="G101" s="19">
        <v>157</v>
      </c>
    </row>
    <row r="102" spans="2:7" outlineLevel="1">
      <c r="B102" s="15" t="s">
        <v>85</v>
      </c>
      <c r="C102" s="19">
        <v>13649</v>
      </c>
      <c r="D102" s="19">
        <v>14951</v>
      </c>
      <c r="E102" s="19">
        <v>14713</v>
      </c>
      <c r="F102" s="19">
        <v>13888</v>
      </c>
      <c r="G102" s="19">
        <v>14071</v>
      </c>
    </row>
    <row r="103" spans="2:7" outlineLevel="1">
      <c r="B103" s="15" t="s">
        <v>86</v>
      </c>
      <c r="C103" s="19">
        <v>90</v>
      </c>
      <c r="D103" s="19">
        <v>-106</v>
      </c>
      <c r="E103" s="19">
        <v>-650</v>
      </c>
      <c r="F103" s="19">
        <v>-630</v>
      </c>
      <c r="G103" s="19">
        <v>-516</v>
      </c>
    </row>
    <row r="104" spans="2:7" outlineLevel="1">
      <c r="B104" s="15" t="s">
        <v>87</v>
      </c>
      <c r="C104" s="19">
        <v>192</v>
      </c>
      <c r="D104" s="19">
        <v>172</v>
      </c>
      <c r="E104" s="19">
        <v>177</v>
      </c>
      <c r="F104" s="19">
        <v>245</v>
      </c>
      <c r="G104" s="19">
        <v>273</v>
      </c>
    </row>
    <row r="105" spans="2:7" outlineLevel="1">
      <c r="B105" s="15" t="s">
        <v>17</v>
      </c>
      <c r="C105" s="19">
        <v>-2343</v>
      </c>
      <c r="D105" s="19">
        <v>-56</v>
      </c>
      <c r="E105" s="19">
        <v>0</v>
      </c>
      <c r="F105" s="19">
        <v>0</v>
      </c>
      <c r="G105" s="19">
        <v>-35</v>
      </c>
    </row>
    <row r="106" spans="2:7" outlineLevel="1">
      <c r="B106" s="15" t="s">
        <v>88</v>
      </c>
      <c r="C106" s="19">
        <v>-47</v>
      </c>
      <c r="D106" s="19">
        <v>9</v>
      </c>
      <c r="E106" s="19">
        <v>-168</v>
      </c>
      <c r="F106" s="19">
        <v>17</v>
      </c>
      <c r="G106" s="19">
        <v>40</v>
      </c>
    </row>
    <row r="107" spans="2:7" outlineLevel="1">
      <c r="B107" s="15" t="s">
        <v>89</v>
      </c>
      <c r="C107" s="19">
        <v>128</v>
      </c>
      <c r="D107" s="19">
        <v>120</v>
      </c>
      <c r="E107" s="19">
        <v>-29</v>
      </c>
      <c r="F107" s="19">
        <v>0</v>
      </c>
      <c r="G107" s="19">
        <v>0</v>
      </c>
    </row>
    <row r="108" spans="2:7" outlineLevel="1">
      <c r="B108" s="15" t="s">
        <v>90</v>
      </c>
      <c r="C108" s="19">
        <v>96</v>
      </c>
      <c r="D108" s="19">
        <v>207</v>
      </c>
      <c r="E108" s="19">
        <v>363</v>
      </c>
      <c r="F108" s="19">
        <v>304</v>
      </c>
      <c r="G108" s="19">
        <v>284</v>
      </c>
    </row>
    <row r="109" spans="2:7" outlineLevel="1">
      <c r="B109" s="15" t="s">
        <v>91</v>
      </c>
      <c r="C109" s="19">
        <v>179</v>
      </c>
      <c r="D109" s="19">
        <v>-180</v>
      </c>
      <c r="E109" s="19">
        <v>523</v>
      </c>
      <c r="F109" s="19">
        <v>548</v>
      </c>
      <c r="G109" s="19">
        <v>956</v>
      </c>
    </row>
    <row r="110" spans="2:7" outlineLevel="1">
      <c r="B110" s="15" t="s">
        <v>92</v>
      </c>
      <c r="C110" s="19">
        <v>-16763</v>
      </c>
      <c r="D110" s="19">
        <v>-17164</v>
      </c>
      <c r="E110" s="19">
        <v>-15518</v>
      </c>
      <c r="F110" s="19">
        <v>-15812</v>
      </c>
      <c r="G110" s="19">
        <v>-15049</v>
      </c>
    </row>
    <row r="111" spans="2:7" outlineLevel="1">
      <c r="B111" s="15" t="s">
        <v>93</v>
      </c>
      <c r="C111" s="19">
        <v>642</v>
      </c>
      <c r="D111" s="19">
        <v>596</v>
      </c>
      <c r="E111" s="19">
        <v>-659</v>
      </c>
      <c r="F111" s="19">
        <v>324</v>
      </c>
      <c r="G111" s="19">
        <v>-317</v>
      </c>
    </row>
    <row r="112" spans="2:7" outlineLevel="1">
      <c r="B112" s="15" t="s">
        <v>94</v>
      </c>
      <c r="C112" s="19">
        <v>-61</v>
      </c>
      <c r="D112" s="19">
        <v>-44</v>
      </c>
      <c r="E112" s="19">
        <v>-69</v>
      </c>
      <c r="F112" s="19">
        <v>23</v>
      </c>
      <c r="G112" s="19">
        <v>-208</v>
      </c>
    </row>
    <row r="113" spans="2:7" outlineLevel="1">
      <c r="B113" s="15" t="s">
        <v>95</v>
      </c>
      <c r="C113" s="19">
        <v>265</v>
      </c>
      <c r="D113" s="19">
        <v>272</v>
      </c>
      <c r="E113" s="19">
        <v>267</v>
      </c>
      <c r="F113" s="19">
        <v>141</v>
      </c>
      <c r="G113" s="19">
        <v>126</v>
      </c>
    </row>
    <row r="114" spans="2:7" outlineLevel="1">
      <c r="B114" s="15" t="s">
        <v>96</v>
      </c>
      <c r="C114" s="19">
        <v>-51</v>
      </c>
      <c r="D114" s="19">
        <v>-159</v>
      </c>
      <c r="E114" s="19">
        <v>-186</v>
      </c>
      <c r="F114" s="19">
        <v>227</v>
      </c>
      <c r="G114" s="19">
        <v>160</v>
      </c>
    </row>
    <row r="115" spans="2:7" outlineLevel="1">
      <c r="B115" s="22" t="s">
        <v>97</v>
      </c>
      <c r="C115" s="23">
        <f>SUM(C98:C114)</f>
        <v>835</v>
      </c>
      <c r="D115" s="23">
        <f>SUM(D98:D114)</f>
        <v>-142</v>
      </c>
      <c r="E115" s="23">
        <f>SUM(E98:E114)</f>
        <v>384</v>
      </c>
      <c r="F115" s="23">
        <f>SUM(F98:F114)</f>
        <v>752</v>
      </c>
      <c r="G115" s="23">
        <f>SUM(G98:G114)</f>
        <v>649</v>
      </c>
    </row>
    <row r="116" spans="2:7" outlineLevel="1">
      <c r="B116" s="15" t="s">
        <v>98</v>
      </c>
      <c r="C116" s="19">
        <v>118</v>
      </c>
      <c r="D116" s="19">
        <v>361</v>
      </c>
      <c r="E116" s="19">
        <v>91</v>
      </c>
      <c r="F116" s="19">
        <v>0</v>
      </c>
      <c r="G116" s="19">
        <v>0</v>
      </c>
    </row>
    <row r="117" spans="2:7" outlineLevel="1">
      <c r="B117" s="22" t="s">
        <v>99</v>
      </c>
      <c r="C117" s="23">
        <f>C115+C116</f>
        <v>953</v>
      </c>
      <c r="D117" s="23">
        <f>D115+D116</f>
        <v>219</v>
      </c>
      <c r="E117" s="23">
        <f>E115+E116</f>
        <v>475</v>
      </c>
      <c r="F117" s="23">
        <f>F115+F116</f>
        <v>752</v>
      </c>
      <c r="G117" s="23">
        <f>G115+G116</f>
        <v>649</v>
      </c>
    </row>
    <row r="118" spans="2:7" outlineLevel="1">
      <c r="B118" s="15" t="s">
        <v>100</v>
      </c>
      <c r="C118" s="19">
        <v>-193</v>
      </c>
      <c r="D118" s="19">
        <v>-254</v>
      </c>
      <c r="E118" s="19">
        <v>-322</v>
      </c>
      <c r="F118" s="19">
        <v>-326</v>
      </c>
      <c r="G118" s="19">
        <v>-238</v>
      </c>
    </row>
    <row r="119" spans="2:7" outlineLevel="1">
      <c r="B119" s="15" t="s">
        <v>101</v>
      </c>
      <c r="C119" s="19">
        <v>-354</v>
      </c>
      <c r="D119" s="19">
        <v>-358</v>
      </c>
      <c r="E119" s="19">
        <v>-328</v>
      </c>
      <c r="F119" s="19">
        <v>-263</v>
      </c>
      <c r="G119" s="19">
        <v>-296</v>
      </c>
    </row>
    <row r="120" spans="2:7" outlineLevel="1">
      <c r="B120" s="15" t="s">
        <v>102</v>
      </c>
      <c r="C120" s="19">
        <v>-54</v>
      </c>
      <c r="D120" s="19">
        <v>0</v>
      </c>
      <c r="E120" s="19">
        <v>0</v>
      </c>
      <c r="F120" s="19">
        <v>0</v>
      </c>
      <c r="G120" s="19">
        <v>-60</v>
      </c>
    </row>
    <row r="121" spans="2:7" outlineLevel="1">
      <c r="B121" s="15" t="s">
        <v>103</v>
      </c>
      <c r="C121" s="19">
        <v>3028</v>
      </c>
      <c r="D121" s="19">
        <v>95</v>
      </c>
      <c r="E121" s="19">
        <v>71</v>
      </c>
      <c r="F121" s="19">
        <v>554</v>
      </c>
      <c r="G121" s="19">
        <v>161</v>
      </c>
    </row>
    <row r="122" spans="2:7" outlineLevel="1">
      <c r="B122" s="15" t="s">
        <v>104</v>
      </c>
      <c r="C122" s="19">
        <v>-25</v>
      </c>
      <c r="D122" s="19">
        <v>-1</v>
      </c>
      <c r="E122" s="19">
        <v>-3</v>
      </c>
      <c r="F122" s="19">
        <v>-8</v>
      </c>
      <c r="G122" s="19">
        <v>-3</v>
      </c>
    </row>
    <row r="123" spans="2:7" outlineLevel="1">
      <c r="B123" s="22" t="s">
        <v>105</v>
      </c>
      <c r="C123" s="23">
        <f>SUM(C118:C122)</f>
        <v>2402</v>
      </c>
      <c r="D123" s="23">
        <f>SUM(D118:D122)</f>
        <v>-518</v>
      </c>
      <c r="E123" s="23">
        <f>SUM(E118:E122)</f>
        <v>-582</v>
      </c>
      <c r="F123" s="23">
        <f>SUM(F118:F122)</f>
        <v>-43</v>
      </c>
      <c r="G123" s="23">
        <f>SUM(G118:G122)</f>
        <v>-436</v>
      </c>
    </row>
    <row r="124" spans="2:7" outlineLevel="1">
      <c r="B124" s="15" t="s">
        <v>106</v>
      </c>
      <c r="C124" s="19">
        <v>-7</v>
      </c>
      <c r="D124" s="19">
        <v>-8</v>
      </c>
      <c r="E124" s="19">
        <v>1524</v>
      </c>
      <c r="F124" s="19">
        <v>55</v>
      </c>
      <c r="G124" s="19">
        <v>0</v>
      </c>
    </row>
    <row r="125" spans="2:7" outlineLevel="1">
      <c r="B125" s="22" t="s">
        <v>107</v>
      </c>
      <c r="C125" s="23">
        <f>C123+C124</f>
        <v>2395</v>
      </c>
      <c r="D125" s="23">
        <f>D123+D124</f>
        <v>-526</v>
      </c>
      <c r="E125" s="23">
        <f>E123+E124</f>
        <v>942</v>
      </c>
      <c r="F125" s="23">
        <f>F123+F124</f>
        <v>12</v>
      </c>
      <c r="G125" s="23">
        <f>G123+G124</f>
        <v>-436</v>
      </c>
    </row>
    <row r="126" spans="2:7" outlineLevel="1">
      <c r="B126" s="15" t="s">
        <v>108</v>
      </c>
      <c r="C126" s="19">
        <v>58</v>
      </c>
      <c r="D126" s="19">
        <v>1138</v>
      </c>
      <c r="E126" s="19">
        <v>45</v>
      </c>
      <c r="F126" s="19">
        <v>0</v>
      </c>
      <c r="G126" s="19">
        <v>0</v>
      </c>
    </row>
    <row r="127" spans="2:7" outlineLevel="1">
      <c r="B127" s="15" t="s">
        <v>109</v>
      </c>
      <c r="C127" s="19">
        <v>-2230</v>
      </c>
      <c r="D127" s="19">
        <v>-3140</v>
      </c>
      <c r="E127" s="19">
        <v>-1277</v>
      </c>
      <c r="F127" s="19">
        <v>-126</v>
      </c>
      <c r="G127" s="19">
        <v>0</v>
      </c>
    </row>
    <row r="128" spans="2:7" outlineLevel="1">
      <c r="B128" s="15" t="s">
        <v>110</v>
      </c>
      <c r="C128" s="19">
        <v>0</v>
      </c>
      <c r="D128" s="19">
        <v>0</v>
      </c>
      <c r="E128" s="19">
        <v>0</v>
      </c>
      <c r="F128" s="19">
        <v>0</v>
      </c>
      <c r="G128" s="19">
        <v>-720</v>
      </c>
    </row>
    <row r="129" spans="2:7" outlineLevel="1">
      <c r="B129" s="15" t="s">
        <v>111</v>
      </c>
      <c r="C129" s="19">
        <v>-30</v>
      </c>
      <c r="D129" s="19">
        <v>-58</v>
      </c>
      <c r="E129" s="19">
        <v>-58</v>
      </c>
      <c r="F129" s="19">
        <v>-29</v>
      </c>
      <c r="G129" s="19">
        <v>0</v>
      </c>
    </row>
    <row r="130" spans="2:7" outlineLevel="1">
      <c r="B130" s="15" t="s">
        <v>112</v>
      </c>
      <c r="C130" s="19">
        <v>-617</v>
      </c>
      <c r="D130" s="19">
        <v>-631</v>
      </c>
      <c r="E130" s="19">
        <v>-389</v>
      </c>
      <c r="F130" s="19">
        <v>-139</v>
      </c>
      <c r="G130" s="19">
        <v>-191</v>
      </c>
    </row>
    <row r="131" spans="2:7" outlineLevel="1">
      <c r="B131" s="15" t="s">
        <v>113</v>
      </c>
      <c r="C131" s="19">
        <v>983</v>
      </c>
      <c r="D131" s="19">
        <v>0</v>
      </c>
      <c r="E131" s="19">
        <v>0</v>
      </c>
      <c r="F131" s="19">
        <v>0</v>
      </c>
      <c r="G131" s="19">
        <v>0</v>
      </c>
    </row>
    <row r="132" spans="2:7" outlineLevel="1">
      <c r="B132" s="15" t="s">
        <v>114</v>
      </c>
      <c r="C132" s="19">
        <v>1672</v>
      </c>
      <c r="D132" s="19">
        <v>0</v>
      </c>
      <c r="E132" s="19">
        <v>0</v>
      </c>
      <c r="F132" s="19">
        <v>0</v>
      </c>
      <c r="G132" s="19">
        <v>0</v>
      </c>
    </row>
    <row r="133" spans="2:7" outlineLevel="1">
      <c r="B133" s="15" t="s">
        <v>115</v>
      </c>
      <c r="C133" s="19">
        <v>-110</v>
      </c>
      <c r="D133" s="19">
        <v>-31</v>
      </c>
      <c r="E133" s="19">
        <v>-29</v>
      </c>
      <c r="F133" s="19">
        <v>-60</v>
      </c>
      <c r="G133" s="19">
        <v>-118</v>
      </c>
    </row>
    <row r="134" spans="2:7" outlineLevel="1">
      <c r="B134" s="15" t="s">
        <v>116</v>
      </c>
      <c r="C134" s="19">
        <v>408</v>
      </c>
      <c r="D134" s="19">
        <v>0</v>
      </c>
      <c r="E134" s="19">
        <v>0</v>
      </c>
      <c r="F134" s="19">
        <v>0</v>
      </c>
      <c r="G134" s="19">
        <v>0</v>
      </c>
    </row>
    <row r="135" spans="2:7" outlineLevel="1">
      <c r="B135" s="15" t="s">
        <v>117</v>
      </c>
      <c r="C135" s="19">
        <v>-235</v>
      </c>
      <c r="D135" s="19">
        <v>-218</v>
      </c>
      <c r="E135" s="19">
        <v>-93</v>
      </c>
      <c r="F135" s="19">
        <v>-127</v>
      </c>
      <c r="G135" s="19">
        <v>-37</v>
      </c>
    </row>
    <row r="136" spans="2:7" outlineLevel="1">
      <c r="B136" s="15" t="s">
        <v>118</v>
      </c>
      <c r="C136" s="19">
        <v>-51</v>
      </c>
      <c r="D136" s="19">
        <v>-41</v>
      </c>
      <c r="E136" s="19">
        <v>-40</v>
      </c>
      <c r="F136" s="19">
        <v>-26</v>
      </c>
      <c r="G136" s="19">
        <v>-4</v>
      </c>
    </row>
    <row r="137" spans="2:7" outlineLevel="1">
      <c r="B137" s="22" t="s">
        <v>119</v>
      </c>
      <c r="C137" s="23">
        <f>SUM(C126:C136)</f>
        <v>-152</v>
      </c>
      <c r="D137" s="23">
        <f>SUM(D126:D136)</f>
        <v>-2981</v>
      </c>
      <c r="E137" s="23">
        <f>SUM(E126:E136)</f>
        <v>-1841</v>
      </c>
      <c r="F137" s="23">
        <f>SUM(F126:F136)</f>
        <v>-507</v>
      </c>
      <c r="G137" s="23">
        <f>SUM(G126:G136)</f>
        <v>-1070</v>
      </c>
    </row>
    <row r="138" spans="2:7" outlineLevel="1">
      <c r="B138" s="15" t="s">
        <v>120</v>
      </c>
      <c r="C138" s="19">
        <v>-48</v>
      </c>
      <c r="D138" s="19">
        <v>-94</v>
      </c>
      <c r="E138" s="19">
        <v>-1</v>
      </c>
      <c r="F138" s="19">
        <v>-56</v>
      </c>
      <c r="G138" s="19">
        <v>79</v>
      </c>
    </row>
    <row r="139" spans="2:7" outlineLevel="1">
      <c r="B139" s="22" t="s">
        <v>121</v>
      </c>
      <c r="C139" s="23">
        <f>SUM(C117,C125,C137,C138)</f>
        <v>3148</v>
      </c>
      <c r="D139" s="23">
        <f>SUM(D117,D125,D137,D138)</f>
        <v>-3382</v>
      </c>
      <c r="E139" s="23">
        <f>SUM(E117,E125,E137,E138)</f>
        <v>-425</v>
      </c>
      <c r="F139" s="23">
        <f>SUM(F117,F125,F137,F138)</f>
        <v>201</v>
      </c>
      <c r="G139" s="23">
        <f>SUM(G117,G125,G137,G138)</f>
        <v>-778</v>
      </c>
    </row>
    <row r="140" spans="2:7" outlineLevel="1">
      <c r="B140" s="15" t="s">
        <v>122</v>
      </c>
      <c r="C140" s="19">
        <v>3119</v>
      </c>
      <c r="D140" s="19">
        <v>6267</v>
      </c>
      <c r="E140" s="19">
        <v>2885</v>
      </c>
      <c r="F140" s="19">
        <v>2460</v>
      </c>
      <c r="G140" s="19">
        <v>2661</v>
      </c>
    </row>
    <row r="141" spans="2:7" outlineLevel="1">
      <c r="B141" s="15" t="s">
        <v>123</v>
      </c>
      <c r="C141" s="19">
        <v>0</v>
      </c>
      <c r="D141" s="19">
        <v>0</v>
      </c>
      <c r="E141" s="19">
        <v>0</v>
      </c>
      <c r="F141" s="19">
        <v>0</v>
      </c>
      <c r="G141" s="19">
        <v>1391</v>
      </c>
    </row>
    <row r="142" spans="2:7" outlineLevel="1">
      <c r="B142" s="15" t="s">
        <v>124</v>
      </c>
      <c r="C142" s="19">
        <v>6267</v>
      </c>
      <c r="D142" s="19">
        <v>2885</v>
      </c>
      <c r="E142" s="19">
        <v>2460</v>
      </c>
      <c r="F142" s="19">
        <v>2661</v>
      </c>
      <c r="G142" s="19">
        <v>3274</v>
      </c>
    </row>
    <row r="143" spans="2:7" outlineLevel="1">
      <c r="B143" s="22" t="s">
        <v>125</v>
      </c>
      <c r="C143" s="23">
        <f>C140+C139+C141-C142</f>
        <v>0</v>
      </c>
      <c r="D143" s="23">
        <f>D140+D139+D141-D142</f>
        <v>0</v>
      </c>
      <c r="E143" s="23">
        <f>E140+E139+E141-E142</f>
        <v>0</v>
      </c>
      <c r="F143" s="23">
        <f>F140+F139+F141-F142</f>
        <v>0</v>
      </c>
      <c r="G143" s="23">
        <f>G140+G139+G141-G142</f>
        <v>0</v>
      </c>
    </row>
    <row r="146" spans="2:7" ht="20">
      <c r="B146" s="183" t="s">
        <v>126</v>
      </c>
      <c r="C146" s="183"/>
      <c r="D146" s="183"/>
      <c r="E146" s="183"/>
      <c r="F146" s="183"/>
      <c r="G146" s="183"/>
    </row>
    <row r="147" spans="2:7" outlineLevel="1">
      <c r="B147" s="25" t="s">
        <v>127</v>
      </c>
      <c r="C147" s="26">
        <f>C28-C100</f>
        <v>5907</v>
      </c>
      <c r="D147" s="26">
        <f>D28-D100</f>
        <v>1964</v>
      </c>
      <c r="E147" s="26">
        <f>E28-E100</f>
        <v>-869</v>
      </c>
      <c r="F147" s="26">
        <f>F28-F100</f>
        <v>-5661</v>
      </c>
      <c r="G147" s="26">
        <f>G28-G100</f>
        <v>140</v>
      </c>
    </row>
    <row r="148" spans="2:7" outlineLevel="1">
      <c r="B148" s="20" t="s">
        <v>128</v>
      </c>
      <c r="C148" s="21">
        <f>C147/C19</f>
        <v>0.20663961379696355</v>
      </c>
      <c r="D148" s="21">
        <f>D147/D19</f>
        <v>6.5132320753465547E-2</v>
      </c>
      <c r="E148" s="21">
        <f>E147/E19</f>
        <v>-2.9306623499258059E-2</v>
      </c>
      <c r="F148" s="21">
        <f>F147/F19</f>
        <v>-0.19378358949782631</v>
      </c>
      <c r="G148" s="21">
        <f>G147/G19</f>
        <v>4.8457997300197292E-3</v>
      </c>
    </row>
    <row r="149" spans="2:7" outlineLevel="1">
      <c r="B149" s="22" t="s">
        <v>129</v>
      </c>
      <c r="C149" s="23">
        <f>C117+C119</f>
        <v>599</v>
      </c>
      <c r="D149" s="23">
        <f>D117+D119</f>
        <v>-139</v>
      </c>
      <c r="E149" s="23">
        <f>E117+E119</f>
        <v>147</v>
      </c>
      <c r="F149" s="23">
        <f>F117+F119</f>
        <v>489</v>
      </c>
      <c r="G149" s="23">
        <f>G117+G119</f>
        <v>353</v>
      </c>
    </row>
    <row r="150" spans="2:7" outlineLevel="1">
      <c r="B150" s="20" t="s">
        <v>130</v>
      </c>
      <c r="C150" s="21">
        <f>C149/C19</f>
        <v>2.0954313300216888E-2</v>
      </c>
      <c r="D150" s="21">
        <f>D149/D19</f>
        <v>-4.6096703588246997E-3</v>
      </c>
      <c r="E150" s="21">
        <f>E149/E19</f>
        <v>4.9575070821529744E-3</v>
      </c>
      <c r="F150" s="21">
        <f>F149/F19</f>
        <v>1.6739122993187965E-2</v>
      </c>
      <c r="G150" s="21">
        <f>G149/G19</f>
        <v>1.2218337890692604E-2</v>
      </c>
    </row>
    <row r="151" spans="2:7" outlineLevel="1">
      <c r="B151" s="20" t="s">
        <v>131</v>
      </c>
      <c r="C151" s="27">
        <f>C71+C75</f>
        <v>17709</v>
      </c>
      <c r="D151" s="27">
        <f>D71+D75</f>
        <v>15846</v>
      </c>
      <c r="E151" s="27">
        <f>E71+E75</f>
        <v>14602</v>
      </c>
      <c r="F151" s="27">
        <f>F71+F75</f>
        <v>14501</v>
      </c>
      <c r="G151" s="27">
        <f>G71+G75</f>
        <v>13658</v>
      </c>
    </row>
    <row r="152" spans="2:7" outlineLevel="1">
      <c r="B152" s="20" t="s">
        <v>132</v>
      </c>
      <c r="C152" s="27">
        <f>C151-C51</f>
        <v>11442</v>
      </c>
      <c r="D152" s="27">
        <f>D151-D51</f>
        <v>12961</v>
      </c>
      <c r="E152" s="27">
        <f>E151-E51</f>
        <v>12142</v>
      </c>
      <c r="F152" s="27">
        <f>F151-F51</f>
        <v>11840</v>
      </c>
      <c r="G152" s="27">
        <f>G151-G51</f>
        <v>10384</v>
      </c>
    </row>
    <row r="153" spans="2:7" outlineLevel="1">
      <c r="B153" s="20" t="s">
        <v>133</v>
      </c>
      <c r="C153" s="28">
        <f>IFERROR(C152/C147,"")</f>
        <v>1.9370238699847639</v>
      </c>
      <c r="D153" s="28">
        <f>IFERROR(D152/D147,"")</f>
        <v>6.5992871690427695</v>
      </c>
      <c r="E153" s="28">
        <f>IFERROR(E152/E147,"")</f>
        <v>-13.972382048331415</v>
      </c>
      <c r="F153" s="28">
        <f>IFERROR(F152/F147,"")</f>
        <v>-2.0915032679738563</v>
      </c>
      <c r="G153" s="28">
        <f>IFERROR(G152/G147,"")</f>
        <v>74.171428571428578</v>
      </c>
    </row>
  </sheetData>
  <mergeCells count="6">
    <mergeCell ref="B146:G146"/>
    <mergeCell ref="B2:G2"/>
    <mergeCell ref="B3:G3"/>
    <mergeCell ref="B18:G18"/>
    <mergeCell ref="B50:G50"/>
    <mergeCell ref="B97:G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9A78-116F-2C42-AA84-845D08AAE09C}">
  <dimension ref="B2:M130"/>
  <sheetViews>
    <sheetView showGridLines="0" workbookViewId="0">
      <selection activeCell="N6" sqref="N6"/>
    </sheetView>
  </sheetViews>
  <sheetFormatPr baseColWidth="10" defaultRowHeight="16" outlineLevelRow="1"/>
  <cols>
    <col min="1" max="1" width="5.1640625" style="15" customWidth="1"/>
    <col min="2" max="2" width="52.83203125" style="15" bestFit="1" customWidth="1"/>
    <col min="3" max="3" width="8.33203125" style="15" customWidth="1"/>
    <col min="4" max="4" width="11.1640625" style="15" bestFit="1" customWidth="1"/>
    <col min="5" max="8" width="11.33203125" style="15" bestFit="1" customWidth="1"/>
    <col min="9" max="13" width="12.33203125" style="15" bestFit="1" customWidth="1"/>
    <col min="14" max="16384" width="10.83203125" style="15"/>
  </cols>
  <sheetData>
    <row r="2" spans="2:13" ht="20">
      <c r="D2" s="223" t="s">
        <v>187</v>
      </c>
      <c r="E2" s="223"/>
      <c r="F2" s="223"/>
      <c r="G2" s="223"/>
      <c r="H2" s="224"/>
      <c r="I2" s="220" t="s">
        <v>188</v>
      </c>
      <c r="J2" s="220"/>
      <c r="K2" s="220"/>
      <c r="L2" s="220"/>
      <c r="M2" s="220"/>
    </row>
    <row r="3" spans="2:13">
      <c r="D3" s="225">
        <v>2021</v>
      </c>
      <c r="E3" s="225">
        <v>2022</v>
      </c>
      <c r="F3" s="225">
        <v>2023</v>
      </c>
      <c r="G3" s="225">
        <v>2024</v>
      </c>
      <c r="H3" s="225">
        <v>2025</v>
      </c>
      <c r="I3" s="222">
        <v>2026</v>
      </c>
      <c r="J3" s="221">
        <v>2027</v>
      </c>
      <c r="K3" s="221">
        <v>2028</v>
      </c>
      <c r="L3" s="221">
        <v>2029</v>
      </c>
      <c r="M3" s="221">
        <v>2030</v>
      </c>
    </row>
    <row r="4" spans="2:13" ht="20">
      <c r="B4" s="183" t="s">
        <v>7</v>
      </c>
      <c r="C4" s="183"/>
      <c r="D4" s="183"/>
      <c r="E4" s="183"/>
      <c r="F4" s="183"/>
      <c r="G4" s="183"/>
      <c r="H4" s="183"/>
      <c r="I4" s="153"/>
      <c r="J4" s="153"/>
      <c r="K4" s="153"/>
      <c r="L4" s="153"/>
      <c r="M4" s="153"/>
    </row>
    <row r="5" spans="2:13">
      <c r="B5" s="15" t="s">
        <v>8</v>
      </c>
      <c r="D5" s="19">
        <v>28586</v>
      </c>
      <c r="E5" s="19">
        <v>30154</v>
      </c>
      <c r="F5" s="19">
        <v>29652</v>
      </c>
      <c r="G5" s="19">
        <v>29213</v>
      </c>
      <c r="H5" s="19">
        <v>28891</v>
      </c>
      <c r="I5" s="154">
        <f>H5*(1+Assumptions!C7)</f>
        <v>29244.815008420341</v>
      </c>
      <c r="J5" s="155">
        <f>I5*(1+Assumptions!D7)</f>
        <v>29850.199424189123</v>
      </c>
      <c r="K5" s="155">
        <f>J5*(1+Assumptions!E7)</f>
        <v>30577.80431887709</v>
      </c>
      <c r="L5" s="155">
        <f>K5*(1+Assumptions!F7)</f>
        <v>31474.79787467116</v>
      </c>
      <c r="M5" s="155">
        <f>L5*(1+Assumptions!G7)</f>
        <v>32473.319670499812</v>
      </c>
    </row>
    <row r="6" spans="2:13">
      <c r="B6" s="15" t="s">
        <v>10</v>
      </c>
      <c r="D6" s="19">
        <v>-17744</v>
      </c>
      <c r="E6" s="19">
        <v>-19845</v>
      </c>
      <c r="F6" s="19">
        <v>-20017</v>
      </c>
      <c r="G6" s="19">
        <v>-19437</v>
      </c>
      <c r="H6" s="19">
        <v>-19695</v>
      </c>
      <c r="I6" s="156">
        <f>H6*(1+Assumptions!C8)</f>
        <v>-20088.900000000001</v>
      </c>
      <c r="J6" s="157">
        <f>I6*(1+Assumptions!D8)</f>
        <v>-21093.345000000001</v>
      </c>
      <c r="K6" s="157">
        <f>J6*(1+Assumptions!E8)</f>
        <v>-21831.612075000001</v>
      </c>
      <c r="L6" s="157">
        <f>K6*(1+Assumptions!F8)</f>
        <v>-22268.2443165</v>
      </c>
      <c r="M6" s="157">
        <f>L6*(1+Assumptions!G8)</f>
        <v>-22713.609202830001</v>
      </c>
    </row>
    <row r="7" spans="2:13">
      <c r="B7" s="15" t="s">
        <v>11</v>
      </c>
      <c r="D7" s="19">
        <v>0</v>
      </c>
      <c r="E7" s="19">
        <v>0</v>
      </c>
      <c r="F7" s="19">
        <v>-2371</v>
      </c>
      <c r="G7" s="19">
        <v>-1118</v>
      </c>
      <c r="H7" s="19">
        <v>-41</v>
      </c>
      <c r="I7" s="156">
        <f>H7*(1+Assumptions!C9)</f>
        <v>-42.230000000000004</v>
      </c>
      <c r="J7" s="157">
        <f>I7*(1+Assumptions!D9)</f>
        <v>-43.919200000000004</v>
      </c>
      <c r="K7" s="157">
        <f>J7*(1+Assumptions!E9)</f>
        <v>-46.115160000000003</v>
      </c>
      <c r="L7" s="157">
        <f>K7*(1+Assumptions!F9)</f>
        <v>-48.420918000000007</v>
      </c>
      <c r="M7" s="157">
        <f>L7*(1+Assumptions!G9)</f>
        <v>-50.84196390000001</v>
      </c>
    </row>
    <row r="8" spans="2:13">
      <c r="B8" s="15" t="s">
        <v>12</v>
      </c>
      <c r="D8" s="19">
        <v>-6398</v>
      </c>
      <c r="E8" s="19">
        <v>-7033</v>
      </c>
      <c r="F8" s="19">
        <v>-7245</v>
      </c>
      <c r="G8" s="19">
        <v>-6658</v>
      </c>
      <c r="H8" s="19">
        <v>-6120</v>
      </c>
      <c r="I8" s="156">
        <f>H8*(1+Assumptions!C10)</f>
        <v>-4773.6000000000004</v>
      </c>
      <c r="J8" s="157">
        <f>I8*(1+Assumptions!D10)</f>
        <v>-4487.1840000000002</v>
      </c>
      <c r="K8" s="157">
        <f>J8*(1+Assumptions!E10)</f>
        <v>-4307.6966400000001</v>
      </c>
      <c r="L8" s="157">
        <f>K8*(1+Assumptions!F10)</f>
        <v>-4113.8502912000004</v>
      </c>
      <c r="M8" s="157">
        <f>L8*(1+Assumptions!G10)</f>
        <v>-3908.1577766400001</v>
      </c>
    </row>
    <row r="9" spans="2:13">
      <c r="B9" s="15" t="s">
        <v>13</v>
      </c>
      <c r="D9" s="19">
        <v>-390</v>
      </c>
      <c r="E9" s="19">
        <v>-378</v>
      </c>
      <c r="F9" s="19">
        <v>-418</v>
      </c>
      <c r="G9" s="19">
        <v>-392</v>
      </c>
      <c r="H9" s="19">
        <v>-794</v>
      </c>
      <c r="I9" s="156">
        <f>H9*(1+Assumptions!C11)</f>
        <v>-797.96999999999991</v>
      </c>
      <c r="J9" s="157">
        <f>I9*(1+Assumptions!D11)</f>
        <v>-801.95984999999985</v>
      </c>
      <c r="K9" s="157">
        <f>J9*(1+Assumptions!E11)</f>
        <v>-805.96964924999975</v>
      </c>
      <c r="L9" s="157">
        <f>K9*(1+Assumptions!F11)</f>
        <v>-809.99949749624966</v>
      </c>
      <c r="M9" s="157">
        <f>L9*(1+Assumptions!G11)</f>
        <v>-814.04949498373082</v>
      </c>
    </row>
    <row r="10" spans="2:13">
      <c r="B10" s="15" t="s">
        <v>14</v>
      </c>
      <c r="D10" s="19">
        <v>0</v>
      </c>
      <c r="E10" s="19">
        <v>-27</v>
      </c>
      <c r="F10" s="19">
        <v>-83</v>
      </c>
      <c r="G10" s="19">
        <v>-6130</v>
      </c>
      <c r="H10" s="19">
        <v>-157</v>
      </c>
      <c r="I10" s="156">
        <f>H10*(1+Assumptions!C12)</f>
        <v>-133.44999999999999</v>
      </c>
      <c r="J10" s="157">
        <f>I10*(1+Assumptions!D12)</f>
        <v>-106.75999999999999</v>
      </c>
      <c r="K10" s="157">
        <f>J10*(1+Assumptions!E12)</f>
        <v>-80.069999999999993</v>
      </c>
      <c r="L10" s="157">
        <f>K10*(1+Assumptions!F12)</f>
        <v>-56.048999999999992</v>
      </c>
      <c r="M10" s="157">
        <f>L10*(1+Assumptions!G12)</f>
        <v>-36.431849999999997</v>
      </c>
    </row>
    <row r="11" spans="2:13">
      <c r="B11" s="15" t="s">
        <v>15</v>
      </c>
      <c r="D11" s="19">
        <v>-100</v>
      </c>
      <c r="E11" s="19">
        <v>-585</v>
      </c>
      <c r="F11" s="19">
        <v>31</v>
      </c>
      <c r="G11" s="19">
        <v>-747</v>
      </c>
      <c r="H11" s="19">
        <v>-1185</v>
      </c>
      <c r="I11" s="158">
        <f>H11*(1+Assumptions!C13)</f>
        <v>-1208.7</v>
      </c>
      <c r="J11" s="157">
        <f>I11*(1+Assumptions!D13)</f>
        <v>-1112.0040000000001</v>
      </c>
      <c r="K11" s="157">
        <f>J11*(1+Assumptions!E13)</f>
        <v>-1023.0436800000002</v>
      </c>
      <c r="L11" s="157">
        <f>K11*(1+Assumptions!F13)</f>
        <v>-941.20018560000028</v>
      </c>
      <c r="M11" s="157">
        <f>L11*(1+Assumptions!G13)</f>
        <v>-865.90417075200025</v>
      </c>
    </row>
    <row r="12" spans="2:13">
      <c r="B12" s="22" t="s">
        <v>16</v>
      </c>
      <c r="C12" s="40"/>
      <c r="D12" s="23">
        <f>SUM(D6:D11)</f>
        <v>-24632</v>
      </c>
      <c r="E12" s="23">
        <f>SUM(E6:E11)</f>
        <v>-27868</v>
      </c>
      <c r="F12" s="23">
        <f>SUM(F6:F11)</f>
        <v>-30103</v>
      </c>
      <c r="G12" s="23">
        <f>SUM(G6:G11)</f>
        <v>-34482</v>
      </c>
      <c r="H12" s="23">
        <f>SUM(H6:H11)</f>
        <v>-27992</v>
      </c>
      <c r="I12" s="159">
        <f t="shared" ref="I12:M12" si="0">SUM(I6:I11)</f>
        <v>-27044.850000000006</v>
      </c>
      <c r="J12" s="160">
        <f t="shared" si="0"/>
        <v>-27645.172050000001</v>
      </c>
      <c r="K12" s="160">
        <f t="shared" si="0"/>
        <v>-28094.50720425</v>
      </c>
      <c r="L12" s="160">
        <f t="shared" si="0"/>
        <v>-28237.764208796249</v>
      </c>
      <c r="M12" s="160">
        <f t="shared" si="0"/>
        <v>-28388.994459105732</v>
      </c>
    </row>
    <row r="13" spans="2:13">
      <c r="B13" s="15" t="s">
        <v>17</v>
      </c>
      <c r="D13" s="19">
        <v>2343</v>
      </c>
      <c r="E13" s="19">
        <v>56</v>
      </c>
      <c r="F13" s="19">
        <v>0</v>
      </c>
      <c r="G13" s="19">
        <v>0</v>
      </c>
      <c r="H13" s="19">
        <v>35</v>
      </c>
      <c r="I13" s="161">
        <v>0</v>
      </c>
      <c r="J13" s="162">
        <v>0</v>
      </c>
      <c r="K13" s="162">
        <v>0</v>
      </c>
      <c r="L13" s="162">
        <v>0</v>
      </c>
      <c r="M13" s="162">
        <v>0</v>
      </c>
    </row>
    <row r="14" spans="2:13">
      <c r="B14" s="22" t="s">
        <v>18</v>
      </c>
      <c r="C14" s="40"/>
      <c r="D14" s="23">
        <f>D5+D12+D13</f>
        <v>6297</v>
      </c>
      <c r="E14" s="23">
        <f>E5+E12+E13</f>
        <v>2342</v>
      </c>
      <c r="F14" s="23">
        <f>F5+F12+F13</f>
        <v>-451</v>
      </c>
      <c r="G14" s="23">
        <f>G5+G12+G13</f>
        <v>-5269</v>
      </c>
      <c r="H14" s="23">
        <f>H5+H12+H13</f>
        <v>934</v>
      </c>
      <c r="I14" s="159">
        <f t="shared" ref="I14:M14" si="1">I5+I12+I13</f>
        <v>2199.9650084203349</v>
      </c>
      <c r="J14" s="160">
        <f t="shared" si="1"/>
        <v>2205.0273741891215</v>
      </c>
      <c r="K14" s="160">
        <f t="shared" si="1"/>
        <v>2483.2971146270902</v>
      </c>
      <c r="L14" s="160">
        <f t="shared" si="1"/>
        <v>3237.0336658749111</v>
      </c>
      <c r="M14" s="160">
        <f t="shared" si="1"/>
        <v>4084.3252113940798</v>
      </c>
    </row>
    <row r="15" spans="2:13">
      <c r="B15" s="15" t="s">
        <v>20</v>
      </c>
      <c r="D15" s="19">
        <v>-986</v>
      </c>
      <c r="E15" s="19">
        <v>-931</v>
      </c>
      <c r="F15" s="19">
        <v>-920</v>
      </c>
      <c r="G15" s="19">
        <v>-860</v>
      </c>
      <c r="H15" s="19">
        <v>-882</v>
      </c>
      <c r="I15" s="157">
        <f>-I99</f>
        <v>-804.78</v>
      </c>
      <c r="J15" s="157">
        <f t="shared" ref="J15:M15" si="2">-J99</f>
        <v>-774.63</v>
      </c>
      <c r="K15" s="157">
        <f t="shared" si="2"/>
        <v>-728.16</v>
      </c>
      <c r="L15" s="157">
        <f t="shared" si="2"/>
        <v>-684.20999999999992</v>
      </c>
      <c r="M15" s="157">
        <f t="shared" si="2"/>
        <v>-642.09</v>
      </c>
    </row>
    <row r="16" spans="2:13">
      <c r="B16" s="15" t="s">
        <v>21</v>
      </c>
      <c r="D16" s="19">
        <v>53</v>
      </c>
      <c r="E16" s="19">
        <v>108</v>
      </c>
      <c r="F16" s="19">
        <v>137</v>
      </c>
      <c r="G16" s="19">
        <v>151</v>
      </c>
      <c r="H16" s="19">
        <v>147</v>
      </c>
      <c r="I16" s="163">
        <v>130</v>
      </c>
      <c r="J16" s="164">
        <v>130</v>
      </c>
      <c r="K16" s="164">
        <v>130</v>
      </c>
      <c r="L16" s="164">
        <v>130</v>
      </c>
      <c r="M16" s="164">
        <v>130</v>
      </c>
    </row>
    <row r="17" spans="2:13">
      <c r="B17" s="15" t="s">
        <v>22</v>
      </c>
      <c r="D17" s="19">
        <v>47</v>
      </c>
      <c r="E17" s="19">
        <v>-9</v>
      </c>
      <c r="F17" s="19">
        <v>168</v>
      </c>
      <c r="G17" s="19">
        <v>-17</v>
      </c>
      <c r="H17" s="19">
        <v>-40</v>
      </c>
      <c r="I17" s="161">
        <v>0</v>
      </c>
      <c r="J17" s="162">
        <v>0</v>
      </c>
      <c r="K17" s="162">
        <v>0</v>
      </c>
      <c r="L17" s="162">
        <v>0</v>
      </c>
      <c r="M17" s="162">
        <v>0</v>
      </c>
    </row>
    <row r="18" spans="2:13">
      <c r="B18" s="15" t="s">
        <v>23</v>
      </c>
      <c r="D18" s="19">
        <v>-128</v>
      </c>
      <c r="E18" s="19">
        <v>-120</v>
      </c>
      <c r="F18" s="19">
        <v>29</v>
      </c>
      <c r="G18" s="19">
        <v>0</v>
      </c>
      <c r="H18" s="19">
        <v>0</v>
      </c>
      <c r="I18" s="161">
        <v>0</v>
      </c>
      <c r="J18" s="162">
        <v>0</v>
      </c>
      <c r="K18" s="162">
        <v>0</v>
      </c>
      <c r="L18" s="162">
        <v>0</v>
      </c>
      <c r="M18" s="162">
        <v>0</v>
      </c>
    </row>
    <row r="19" spans="2:13">
      <c r="B19" s="15" t="s">
        <v>24</v>
      </c>
      <c r="D19" s="19">
        <v>-77</v>
      </c>
      <c r="E19" s="19">
        <v>-124</v>
      </c>
      <c r="F19" s="19">
        <v>-216</v>
      </c>
      <c r="G19" s="19">
        <v>-182</v>
      </c>
      <c r="H19" s="19">
        <v>-131</v>
      </c>
      <c r="I19" s="165">
        <f>AVERAGE(F19:H19)</f>
        <v>-176.33333333333334</v>
      </c>
      <c r="J19" s="166">
        <f t="shared" ref="J19:M19" si="3">AVERAGE(G19:I19)</f>
        <v>-163.11111111111111</v>
      </c>
      <c r="K19" s="166">
        <f t="shared" si="3"/>
        <v>-156.81481481481481</v>
      </c>
      <c r="L19" s="166">
        <f t="shared" si="3"/>
        <v>-165.41975308641975</v>
      </c>
      <c r="M19" s="166">
        <f t="shared" si="3"/>
        <v>-161.78189300411523</v>
      </c>
    </row>
    <row r="20" spans="2:13">
      <c r="B20" s="22" t="s">
        <v>25</v>
      </c>
      <c r="C20" s="40"/>
      <c r="D20" s="23">
        <f t="shared" ref="D20:M20" si="4">SUM(D14,D15:D19)</f>
        <v>5206</v>
      </c>
      <c r="E20" s="23">
        <f t="shared" si="4"/>
        <v>1266</v>
      </c>
      <c r="F20" s="23">
        <f t="shared" si="4"/>
        <v>-1253</v>
      </c>
      <c r="G20" s="23">
        <f t="shared" si="4"/>
        <v>-6177</v>
      </c>
      <c r="H20" s="23">
        <f t="shared" si="4"/>
        <v>28</v>
      </c>
      <c r="I20" s="159">
        <f t="shared" si="4"/>
        <v>1348.8516750870017</v>
      </c>
      <c r="J20" s="160">
        <f t="shared" si="4"/>
        <v>1397.2862630780103</v>
      </c>
      <c r="K20" s="160">
        <f t="shared" si="4"/>
        <v>1728.3222998122756</v>
      </c>
      <c r="L20" s="160">
        <f t="shared" si="4"/>
        <v>2517.4039127884912</v>
      </c>
      <c r="M20" s="160">
        <f t="shared" si="4"/>
        <v>3410.4533183899644</v>
      </c>
    </row>
    <row r="21" spans="2:13">
      <c r="B21" s="15" t="s">
        <v>26</v>
      </c>
      <c r="D21" s="19">
        <v>-646</v>
      </c>
      <c r="E21" s="19">
        <v>-227</v>
      </c>
      <c r="F21" s="19">
        <v>361</v>
      </c>
      <c r="G21" s="19">
        <v>305</v>
      </c>
      <c r="H21" s="19">
        <v>119</v>
      </c>
      <c r="I21" s="154">
        <f>-I20*Assumptions!C19</f>
        <v>-323.7244020208804</v>
      </c>
      <c r="J21" s="157">
        <f>-J20*Assumptions!D19</f>
        <v>-335.34870313872244</v>
      </c>
      <c r="K21" s="157">
        <f>-K20*Assumptions!E19</f>
        <v>-414.79735195494612</v>
      </c>
      <c r="L21" s="157">
        <f>-L20*Assumptions!F19</f>
        <v>-604.17693906923785</v>
      </c>
      <c r="M21" s="157">
        <f>-M20*Assumptions!G19</f>
        <v>-818.50879641359143</v>
      </c>
    </row>
    <row r="22" spans="2:13">
      <c r="B22" s="15" t="s">
        <v>27</v>
      </c>
      <c r="D22" s="19">
        <v>-91</v>
      </c>
      <c r="E22" s="19">
        <v>-204</v>
      </c>
      <c r="F22" s="19">
        <v>-360</v>
      </c>
      <c r="G22" s="19">
        <v>-291</v>
      </c>
      <c r="H22" s="19">
        <v>-275</v>
      </c>
      <c r="I22" s="161">
        <v>0</v>
      </c>
      <c r="J22" s="162">
        <v>0</v>
      </c>
      <c r="K22" s="162">
        <v>0</v>
      </c>
      <c r="L22" s="162">
        <v>0</v>
      </c>
      <c r="M22" s="162">
        <v>0</v>
      </c>
    </row>
    <row r="23" spans="2:13">
      <c r="B23" s="22" t="s">
        <v>28</v>
      </c>
      <c r="C23" s="40"/>
      <c r="D23" s="23">
        <f>SUM(D20:D22)</f>
        <v>4469</v>
      </c>
      <c r="E23" s="23">
        <f>SUM(E20:E22)</f>
        <v>835</v>
      </c>
      <c r="F23" s="23">
        <f>SUM(F20:F22)</f>
        <v>-1252</v>
      </c>
      <c r="G23" s="23">
        <f>SUM(G20:G22)</f>
        <v>-6163</v>
      </c>
      <c r="H23" s="23">
        <f>SUM(H20:H22)</f>
        <v>-128</v>
      </c>
      <c r="I23" s="159">
        <f t="shared" ref="I23:M23" si="5">SUM(I20:I22)</f>
        <v>1025.1272730661212</v>
      </c>
      <c r="J23" s="160">
        <f t="shared" si="5"/>
        <v>1061.9375599392879</v>
      </c>
      <c r="K23" s="160">
        <f t="shared" si="5"/>
        <v>1313.5249478573294</v>
      </c>
      <c r="L23" s="160">
        <f t="shared" si="5"/>
        <v>1913.2269737192532</v>
      </c>
      <c r="M23" s="160">
        <f t="shared" si="5"/>
        <v>2591.9445219763729</v>
      </c>
    </row>
    <row r="24" spans="2:13">
      <c r="B24" s="15" t="s">
        <v>29</v>
      </c>
      <c r="D24" s="19">
        <v>162</v>
      </c>
      <c r="E24" s="19">
        <v>379</v>
      </c>
      <c r="F24" s="19">
        <v>676</v>
      </c>
      <c r="G24" s="19">
        <v>14</v>
      </c>
      <c r="H24" s="19">
        <v>0</v>
      </c>
      <c r="I24" s="161">
        <v>0</v>
      </c>
      <c r="J24" s="162">
        <v>0</v>
      </c>
      <c r="K24" s="162">
        <v>0</v>
      </c>
      <c r="L24" s="162">
        <v>0</v>
      </c>
      <c r="M24" s="162">
        <v>0</v>
      </c>
    </row>
    <row r="25" spans="2:13">
      <c r="B25" s="22" t="s">
        <v>30</v>
      </c>
      <c r="C25" s="40"/>
      <c r="D25" s="23">
        <f>D23+D24</f>
        <v>4631</v>
      </c>
      <c r="E25" s="23">
        <f>E23+E24</f>
        <v>1214</v>
      </c>
      <c r="F25" s="23">
        <f>F23+F24</f>
        <v>-576</v>
      </c>
      <c r="G25" s="23">
        <f>G23+G24</f>
        <v>-6149</v>
      </c>
      <c r="H25" s="23">
        <f>H23+H24</f>
        <v>-128</v>
      </c>
      <c r="I25" s="159">
        <f t="shared" ref="I25:M25" si="6">I23+I24</f>
        <v>1025.1272730661212</v>
      </c>
      <c r="J25" s="160">
        <f t="shared" si="6"/>
        <v>1061.9375599392879</v>
      </c>
      <c r="K25" s="160">
        <f t="shared" si="6"/>
        <v>1313.5249478573294</v>
      </c>
      <c r="L25" s="160">
        <f t="shared" si="6"/>
        <v>1913.2269737192532</v>
      </c>
      <c r="M25" s="160">
        <f t="shared" si="6"/>
        <v>2591.9445219763729</v>
      </c>
    </row>
    <row r="26" spans="2:13">
      <c r="B26" s="15" t="s">
        <v>31</v>
      </c>
      <c r="D26" s="19">
        <v>-88</v>
      </c>
      <c r="E26" s="19">
        <v>-110</v>
      </c>
      <c r="F26" s="19">
        <v>-32</v>
      </c>
      <c r="G26" s="19">
        <v>-41</v>
      </c>
      <c r="H26" s="19">
        <v>-493</v>
      </c>
      <c r="I26" s="158">
        <v>-40</v>
      </c>
      <c r="J26" s="157">
        <v>-40</v>
      </c>
      <c r="K26" s="157">
        <v>-40</v>
      </c>
      <c r="L26" s="157">
        <v>-40</v>
      </c>
      <c r="M26" s="157">
        <v>-40</v>
      </c>
    </row>
    <row r="27" spans="2:13">
      <c r="B27" s="22" t="s">
        <v>32</v>
      </c>
      <c r="C27" s="40"/>
      <c r="D27" s="23">
        <f>D25+D26</f>
        <v>4543</v>
      </c>
      <c r="E27" s="23">
        <f>E25+E26</f>
        <v>1104</v>
      </c>
      <c r="F27" s="23">
        <f>F25+F26</f>
        <v>-608</v>
      </c>
      <c r="G27" s="23">
        <f>G25+G26</f>
        <v>-6190</v>
      </c>
      <c r="H27" s="23">
        <f>H25+H26</f>
        <v>-621</v>
      </c>
      <c r="I27" s="159">
        <f t="shared" ref="I27:M27" si="7">I25+I26</f>
        <v>985.12727306612123</v>
      </c>
      <c r="J27" s="160">
        <f t="shared" si="7"/>
        <v>1021.9375599392879</v>
      </c>
      <c r="K27" s="160">
        <f t="shared" si="7"/>
        <v>1273.5249478573294</v>
      </c>
      <c r="L27" s="160">
        <f t="shared" si="7"/>
        <v>1873.2269737192532</v>
      </c>
      <c r="M27" s="160">
        <f t="shared" si="7"/>
        <v>2551.9445219763729</v>
      </c>
    </row>
    <row r="28" spans="2:13">
      <c r="B28" s="43"/>
      <c r="C28" s="43"/>
      <c r="D28" s="43"/>
      <c r="E28" s="43"/>
      <c r="F28" s="43"/>
      <c r="H28" s="41">
        <f>H9+SUM(H15:H19)+H21+H22</f>
        <v>-1856</v>
      </c>
    </row>
    <row r="30" spans="2:13" ht="20">
      <c r="B30" s="183" t="s">
        <v>38</v>
      </c>
      <c r="C30" s="183"/>
      <c r="D30" s="183"/>
      <c r="E30" s="183"/>
      <c r="F30" s="183"/>
      <c r="G30" s="183"/>
      <c r="H30" s="183"/>
      <c r="I30" s="153"/>
      <c r="J30" s="153"/>
      <c r="K30" s="153"/>
      <c r="L30" s="153"/>
      <c r="M30" s="153"/>
    </row>
    <row r="31" spans="2:13">
      <c r="B31" s="15" t="s">
        <v>170</v>
      </c>
      <c r="D31" s="29">
        <f>Historicals!C51</f>
        <v>6267</v>
      </c>
      <c r="E31" s="29">
        <f>Historicals!D51</f>
        <v>2885</v>
      </c>
      <c r="F31" s="29">
        <f>Historicals!E51</f>
        <v>2460</v>
      </c>
      <c r="G31" s="29">
        <f>Historicals!F51</f>
        <v>2661</v>
      </c>
      <c r="H31" s="29">
        <f>Historicals!G51</f>
        <v>3274</v>
      </c>
      <c r="I31" s="167">
        <f>I77</f>
        <v>4235.2172730661214</v>
      </c>
      <c r="J31" s="168">
        <f t="shared" ref="J31:M31" si="8">J77</f>
        <v>5235.7029496720761</v>
      </c>
      <c r="K31" s="168">
        <f t="shared" si="8"/>
        <v>5964.3602703349607</v>
      </c>
      <c r="L31" s="168">
        <f t="shared" si="8"/>
        <v>7464.5065069312041</v>
      </c>
      <c r="M31" s="168">
        <f t="shared" si="8"/>
        <v>9526.794289026162</v>
      </c>
    </row>
    <row r="32" spans="2:13">
      <c r="B32" s="15" t="s">
        <v>171</v>
      </c>
      <c r="D32" s="29">
        <f>Historicals!C52</f>
        <v>6984</v>
      </c>
      <c r="E32" s="29">
        <f>Historicals!D52</f>
        <v>7412</v>
      </c>
      <c r="F32" s="29">
        <f>Historicals!E52</f>
        <v>7115</v>
      </c>
      <c r="G32" s="29">
        <f>Historicals!F52</f>
        <v>6920</v>
      </c>
      <c r="H32" s="29">
        <f>Historicals!G52</f>
        <v>6615</v>
      </c>
      <c r="I32" s="154">
        <f>I5*Assumptions!C14/365</f>
        <v>6880.281068091449</v>
      </c>
      <c r="J32" s="155">
        <f>J5*Assumptions!D14/365</f>
        <v>6976.0897779095176</v>
      </c>
      <c r="K32" s="155">
        <f>K5*Assumptions!E14/365</f>
        <v>7113.7459148718135</v>
      </c>
      <c r="L32" s="155">
        <f>L5*Assumptions!F14/365</f>
        <v>7361.0359727181494</v>
      </c>
      <c r="M32" s="155">
        <f>M5*Assumptions!G14/365</f>
        <v>7579.4696838814525</v>
      </c>
    </row>
    <row r="33" spans="2:13">
      <c r="B33" s="15" t="s">
        <v>172</v>
      </c>
      <c r="D33" s="29">
        <f>Historicals!C53</f>
        <v>1504</v>
      </c>
      <c r="E33" s="29">
        <f>Historicals!D53</f>
        <v>1342</v>
      </c>
      <c r="F33" s="29">
        <f>Historicals!E53</f>
        <v>1414</v>
      </c>
      <c r="G33" s="29">
        <f>Historicals!F53</f>
        <v>1429</v>
      </c>
      <c r="H33" s="29">
        <f>Historicals!G53</f>
        <v>1461</v>
      </c>
      <c r="I33" s="154">
        <f>-I6*Assumptions!C15/365</f>
        <v>1462.0754748255617</v>
      </c>
      <c r="J33" s="155">
        <f>-J6*Assumptions!D15/365</f>
        <v>1550.228010262106</v>
      </c>
      <c r="K33" s="155">
        <f>-K6*Assumptions!E15/365</f>
        <v>1604.2976992959861</v>
      </c>
      <c r="L33" s="155">
        <f>-L6*Assumptions!F15/365</f>
        <v>1631.2160321425413</v>
      </c>
      <c r="M33" s="155">
        <f>-M6*Assumptions!G15/365</f>
        <v>1667.4196345917717</v>
      </c>
    </row>
    <row r="34" spans="2:13">
      <c r="B34" s="15" t="s">
        <v>173</v>
      </c>
      <c r="D34" s="29">
        <f>Historicals!C54+Historicals!C55</f>
        <v>1921</v>
      </c>
      <c r="E34" s="29">
        <f>Historicals!D54+Historicals!D55</f>
        <v>2095</v>
      </c>
      <c r="F34" s="29">
        <f>Historicals!E54+Historicals!E55</f>
        <v>1714</v>
      </c>
      <c r="G34" s="29">
        <f>Historicals!F54+Historicals!F55</f>
        <v>1532</v>
      </c>
      <c r="H34" s="29">
        <f>Historicals!G54+Historicals!G55</f>
        <v>1970</v>
      </c>
      <c r="I34" s="154">
        <v>1900</v>
      </c>
      <c r="J34" s="155">
        <v>1700</v>
      </c>
      <c r="K34" s="155">
        <v>1400</v>
      </c>
      <c r="L34" s="155">
        <f>1800-533.603014306042</f>
        <v>1266.396985693958</v>
      </c>
      <c r="M34" s="155">
        <f>1800-673.709879076729</f>
        <v>1126.2901209232709</v>
      </c>
    </row>
    <row r="35" spans="2:13">
      <c r="B35" s="30" t="s">
        <v>44</v>
      </c>
      <c r="C35" s="30"/>
      <c r="D35" s="31">
        <f>SUM(D31:D34)</f>
        <v>16676</v>
      </c>
      <c r="E35" s="31">
        <f t="shared" ref="E35:H35" si="9">SUM(E31:E34)</f>
        <v>13734</v>
      </c>
      <c r="F35" s="31">
        <f t="shared" si="9"/>
        <v>12703</v>
      </c>
      <c r="G35" s="31">
        <f t="shared" si="9"/>
        <v>12542</v>
      </c>
      <c r="H35" s="31">
        <f t="shared" si="9"/>
        <v>13320</v>
      </c>
      <c r="I35" s="169">
        <f t="shared" ref="I35" si="10">SUM(I31:I34)</f>
        <v>14477.573815983133</v>
      </c>
      <c r="J35" s="170">
        <f t="shared" ref="J35" si="11">SUM(J31:J34)</f>
        <v>15462.020737843699</v>
      </c>
      <c r="K35" s="170">
        <f t="shared" ref="K35" si="12">SUM(K31:K34)</f>
        <v>16082.403884502761</v>
      </c>
      <c r="L35" s="170">
        <f t="shared" ref="L35" si="13">SUM(L31:L34)</f>
        <v>17723.155497485852</v>
      </c>
      <c r="M35" s="170">
        <f t="shared" ref="M35" si="14">SUM(M31:M34)</f>
        <v>19899.973728422654</v>
      </c>
    </row>
    <row r="36" spans="2:13">
      <c r="B36" s="15" t="s">
        <v>174</v>
      </c>
      <c r="D36" s="29">
        <f>Historicals!C57</f>
        <v>1736</v>
      </c>
      <c r="E36" s="29">
        <f>Historicals!D57</f>
        <v>1762</v>
      </c>
      <c r="F36" s="29">
        <f>Historicals!E57</f>
        <v>1666</v>
      </c>
      <c r="G36" s="29">
        <f>Historicals!F57</f>
        <v>1566</v>
      </c>
      <c r="H36" s="29">
        <f>Historicals!G57</f>
        <v>2195</v>
      </c>
      <c r="I36" s="167">
        <f>I93</f>
        <v>1957.1802</v>
      </c>
      <c r="J36" s="168">
        <f t="shared" ref="J36:M36" si="15">J93</f>
        <v>1835.677598</v>
      </c>
      <c r="K36" s="168">
        <f t="shared" si="15"/>
        <v>1712.5472380199999</v>
      </c>
      <c r="L36" s="168">
        <f t="shared" si="15"/>
        <v>1587.8622533197999</v>
      </c>
      <c r="M36" s="168">
        <f t="shared" si="15"/>
        <v>1461.693908713002</v>
      </c>
    </row>
    <row r="37" spans="2:13">
      <c r="B37" s="15" t="s">
        <v>183</v>
      </c>
      <c r="D37" s="29">
        <f>SUM(Historicals!C58:C64)</f>
        <v>40208</v>
      </c>
      <c r="E37" s="29">
        <f>SUM(Historicals!D58:D64)</f>
        <v>42897</v>
      </c>
      <c r="F37" s="29">
        <f>SUM(Historicals!E58:E64)</f>
        <v>39174</v>
      </c>
      <c r="G37" s="29">
        <f>SUM(Historicals!F58:F64)</f>
        <v>32064</v>
      </c>
      <c r="H37" s="29">
        <f>SUM(Historicals!G58:G64)</f>
        <v>27827</v>
      </c>
      <c r="I37" s="154">
        <v>28000</v>
      </c>
      <c r="J37" s="155">
        <f>28000-392.134524000001</f>
        <v>27607.865475999999</v>
      </c>
      <c r="K37" s="155">
        <f>27600-594.257752635</f>
        <v>27005.742247365</v>
      </c>
      <c r="L37" s="155">
        <f>26500--381.813670546122</f>
        <v>26881.813670546122</v>
      </c>
      <c r="M37" s="155">
        <f>26500+87.9608257905857</f>
        <v>26587.960825790586</v>
      </c>
    </row>
    <row r="38" spans="2:13">
      <c r="B38" s="30" t="s">
        <v>175</v>
      </c>
      <c r="C38" s="30"/>
      <c r="D38" s="31">
        <f>D35+SUM(D36:D37)</f>
        <v>58620</v>
      </c>
      <c r="E38" s="31">
        <f t="shared" ref="E38:H38" si="16">E35+SUM(E36:E37)</f>
        <v>58393</v>
      </c>
      <c r="F38" s="31">
        <f t="shared" si="16"/>
        <v>53543</v>
      </c>
      <c r="G38" s="31">
        <f t="shared" si="16"/>
        <v>46172</v>
      </c>
      <c r="H38" s="31">
        <f t="shared" si="16"/>
        <v>43342</v>
      </c>
      <c r="I38" s="169">
        <f t="shared" ref="I38" si="17">I35+SUM(I36:I37)</f>
        <v>44434.754015983133</v>
      </c>
      <c r="J38" s="170">
        <f t="shared" ref="J38" si="18">J35+SUM(J36:J37)</f>
        <v>44905.563811843698</v>
      </c>
      <c r="K38" s="170">
        <f t="shared" ref="K38" si="19">K35+SUM(K36:K37)</f>
        <v>44800.693369887762</v>
      </c>
      <c r="L38" s="170">
        <f t="shared" ref="L38" si="20">L35+SUM(L36:L37)</f>
        <v>46192.831421351773</v>
      </c>
      <c r="M38" s="170">
        <f t="shared" ref="M38" si="21">M35+SUM(M36:M37)</f>
        <v>47949.628462926237</v>
      </c>
    </row>
    <row r="39" spans="2:13">
      <c r="D39" s="29"/>
      <c r="E39" s="29"/>
      <c r="F39" s="29"/>
      <c r="G39" s="29"/>
      <c r="H39" s="29"/>
      <c r="I39" s="171"/>
      <c r="J39" s="172"/>
      <c r="K39" s="172"/>
      <c r="L39" s="172"/>
      <c r="M39" s="172"/>
    </row>
    <row r="40" spans="2:13">
      <c r="B40" s="15" t="s">
        <v>176</v>
      </c>
      <c r="D40" s="29"/>
      <c r="E40" s="29"/>
      <c r="F40" s="29"/>
      <c r="G40" s="29"/>
      <c r="H40" s="29"/>
      <c r="I40" s="163"/>
      <c r="J40" s="164"/>
      <c r="K40" s="164"/>
      <c r="L40" s="164"/>
      <c r="M40" s="164"/>
    </row>
    <row r="41" spans="2:13">
      <c r="B41" s="15" t="s">
        <v>177</v>
      </c>
      <c r="D41" s="29">
        <f>Historicals!C66</f>
        <v>800</v>
      </c>
      <c r="E41" s="29">
        <f>Historicals!D66</f>
        <v>1403</v>
      </c>
      <c r="F41" s="29">
        <f>Historicals!E66</f>
        <v>1100</v>
      </c>
      <c r="G41" s="29">
        <f>Historicals!F66</f>
        <v>953</v>
      </c>
      <c r="H41" s="29">
        <f>Historicals!G66</f>
        <v>906</v>
      </c>
      <c r="I41" s="154">
        <f>-I6*Assumptions!C16/365</f>
        <v>1004.3446429989672</v>
      </c>
      <c r="J41" s="155">
        <f>-J6*Assumptions!D16/365</f>
        <v>1019.6996006631591</v>
      </c>
      <c r="K41" s="155">
        <f>-K6*Assumptions!E16/365</f>
        <v>1050.3826791551655</v>
      </c>
      <c r="L41" s="155">
        <f>-L6*Assumptions!F16/365</f>
        <v>1087.0627242510252</v>
      </c>
      <c r="M41" s="155">
        <f>-M6*Assumptions!G16/365</f>
        <v>1099.882974639193</v>
      </c>
    </row>
    <row r="42" spans="2:13">
      <c r="B42" s="15" t="s">
        <v>59</v>
      </c>
      <c r="D42" s="29">
        <f>Historicals!C71</f>
        <v>11</v>
      </c>
      <c r="E42" s="29">
        <f>Historicals!D71</f>
        <v>239</v>
      </c>
      <c r="F42" s="29">
        <f>Historicals!E71</f>
        <v>1</v>
      </c>
      <c r="G42" s="29">
        <f>Historicals!F71</f>
        <v>0</v>
      </c>
      <c r="H42" s="29">
        <f>Historicals!G71</f>
        <v>433</v>
      </c>
      <c r="I42" s="154">
        <f>D105</f>
        <v>573</v>
      </c>
      <c r="J42" s="155">
        <f>D106+D107</f>
        <v>976</v>
      </c>
      <c r="K42" s="155">
        <f>D108</f>
        <v>489</v>
      </c>
      <c r="L42" s="155">
        <f>D109</f>
        <v>915</v>
      </c>
      <c r="M42" s="155">
        <f>D110</f>
        <v>1221</v>
      </c>
    </row>
    <row r="43" spans="2:13">
      <c r="B43" s="15" t="s">
        <v>60</v>
      </c>
      <c r="D43" s="29">
        <f>SUM(Historicals!C67:C70,Historicals!C72:C73)</f>
        <v>8668</v>
      </c>
      <c r="E43" s="29">
        <f>SUM(Historicals!D67:D70,Historicals!D72:D73)</f>
        <v>9549</v>
      </c>
      <c r="F43" s="29">
        <f>SUM(Historicals!E67:E70,Historicals!E72:E73)</f>
        <v>8555</v>
      </c>
      <c r="G43" s="29">
        <f>SUM(Historicals!F67:F70,Historicals!F72:F73)</f>
        <v>8678</v>
      </c>
      <c r="H43" s="29">
        <f>SUM(Historicals!G67:G70,Historicals!G72:G73)</f>
        <v>9260</v>
      </c>
      <c r="I43" s="154">
        <f>8700+388.090200000006</f>
        <v>9088.090200000006</v>
      </c>
      <c r="J43" s="155">
        <f>8500+392.134524000001</f>
        <v>8892.134524000001</v>
      </c>
      <c r="K43" s="155">
        <f>8200+594.257752635</f>
        <v>8794.2577526349996</v>
      </c>
      <c r="L43" s="155">
        <f>8100+533.6030142</f>
        <v>8633.6030142</v>
      </c>
      <c r="M43" s="155">
        <f>7700+673.70987907672</f>
        <v>8373.7098790767195</v>
      </c>
    </row>
    <row r="44" spans="2:13">
      <c r="B44" s="30" t="s">
        <v>184</v>
      </c>
      <c r="C44" s="30"/>
      <c r="D44" s="31">
        <f>SUM(D41:D43)</f>
        <v>9479</v>
      </c>
      <c r="E44" s="31">
        <f t="shared" ref="E44:H44" si="22">SUM(E41:E43)</f>
        <v>11191</v>
      </c>
      <c r="F44" s="31">
        <f t="shared" si="22"/>
        <v>9656</v>
      </c>
      <c r="G44" s="31">
        <f t="shared" si="22"/>
        <v>9631</v>
      </c>
      <c r="H44" s="31">
        <f t="shared" si="22"/>
        <v>10599</v>
      </c>
      <c r="I44" s="169">
        <f t="shared" ref="I44" si="23">SUM(I41:I43)</f>
        <v>10665.434842998973</v>
      </c>
      <c r="J44" s="170">
        <f t="shared" ref="J44" si="24">SUM(J41:J43)</f>
        <v>10887.834124663161</v>
      </c>
      <c r="K44" s="170">
        <f t="shared" ref="K44" si="25">SUM(K41:K43)</f>
        <v>10333.640431790165</v>
      </c>
      <c r="L44" s="170">
        <f t="shared" ref="L44" si="26">SUM(L41:L43)</f>
        <v>10635.665738451025</v>
      </c>
      <c r="M44" s="170">
        <f t="shared" ref="M44" si="27">SUM(M41:M43)</f>
        <v>10694.592853715912</v>
      </c>
    </row>
    <row r="45" spans="2:13">
      <c r="B45" s="15" t="s">
        <v>63</v>
      </c>
      <c r="D45" s="29">
        <f>Historicals!C75</f>
        <v>17698</v>
      </c>
      <c r="E45" s="29">
        <f>Historicals!D75</f>
        <v>15607</v>
      </c>
      <c r="F45" s="29">
        <f>Historicals!E75</f>
        <v>14601</v>
      </c>
      <c r="G45" s="29">
        <f>Historicals!F75</f>
        <v>14501</v>
      </c>
      <c r="H45" s="29">
        <f>Historicals!G75</f>
        <v>13225</v>
      </c>
      <c r="I45" s="167">
        <f>I98</f>
        <v>13197</v>
      </c>
      <c r="J45" s="168">
        <f t="shared" ref="J45:M45" si="28">J98</f>
        <v>12624</v>
      </c>
      <c r="K45" s="168">
        <f t="shared" si="28"/>
        <v>11648</v>
      </c>
      <c r="L45" s="168">
        <f t="shared" si="28"/>
        <v>11159</v>
      </c>
      <c r="M45" s="168">
        <f t="shared" si="28"/>
        <v>10244</v>
      </c>
    </row>
    <row r="46" spans="2:13">
      <c r="B46" s="15" t="s">
        <v>185</v>
      </c>
      <c r="D46" s="29">
        <f>SUM(Historicals!C76:C83)</f>
        <v>8473</v>
      </c>
      <c r="E46" s="29">
        <f>SUM(Historicals!D76:D83)</f>
        <v>7989</v>
      </c>
      <c r="F46" s="29">
        <f>SUM(Historicals!E76:E83)</f>
        <v>6236</v>
      </c>
      <c r="G46" s="29">
        <f>SUM(Historicals!F76:F83)</f>
        <v>5258</v>
      </c>
      <c r="H46" s="29">
        <f>SUM(Historicals!G76:G83)</f>
        <v>6631</v>
      </c>
      <c r="I46" s="154">
        <v>6400</v>
      </c>
      <c r="J46" s="155">
        <v>6300</v>
      </c>
      <c r="K46" s="155">
        <f>6350-0.156986242909625</f>
        <v>6349.8430137570904</v>
      </c>
      <c r="L46" s="155">
        <f>5400+533.6030142</f>
        <v>5933.6030142</v>
      </c>
      <c r="M46" s="155">
        <f>5200+673.709879076729</f>
        <v>5873.7098790767286</v>
      </c>
    </row>
    <row r="47" spans="2:13">
      <c r="B47" s="30" t="s">
        <v>178</v>
      </c>
      <c r="C47" s="30"/>
      <c r="D47" s="31">
        <f>SUM(D44:D46)</f>
        <v>35650</v>
      </c>
      <c r="E47" s="31">
        <f t="shared" ref="E47:H47" si="29">SUM(E44:E46)</f>
        <v>34787</v>
      </c>
      <c r="F47" s="31">
        <f t="shared" si="29"/>
        <v>30493</v>
      </c>
      <c r="G47" s="31">
        <f t="shared" si="29"/>
        <v>29390</v>
      </c>
      <c r="H47" s="31">
        <f t="shared" si="29"/>
        <v>30455</v>
      </c>
      <c r="I47" s="169">
        <f t="shared" ref="I47" si="30">SUM(I44:I46)</f>
        <v>30262.434842998973</v>
      </c>
      <c r="J47" s="170">
        <f t="shared" ref="J47" si="31">SUM(J44:J46)</f>
        <v>29811.834124663161</v>
      </c>
      <c r="K47" s="170">
        <f t="shared" ref="K47" si="32">SUM(K44:K46)</f>
        <v>28331.483445547256</v>
      </c>
      <c r="L47" s="170">
        <f t="shared" ref="L47" si="33">SUM(L44:L46)</f>
        <v>27728.268752651027</v>
      </c>
      <c r="M47" s="170">
        <f t="shared" ref="M47" si="34">SUM(M44:M46)</f>
        <v>26812.302732792639</v>
      </c>
    </row>
    <row r="48" spans="2:13">
      <c r="B48" s="15" t="s">
        <v>179</v>
      </c>
      <c r="D48" s="29"/>
      <c r="E48" s="29"/>
      <c r="F48" s="29"/>
      <c r="G48" s="29"/>
      <c r="H48" s="29"/>
      <c r="I48" s="171"/>
      <c r="J48" s="172"/>
      <c r="K48" s="172"/>
      <c r="L48" s="172"/>
      <c r="M48" s="172"/>
    </row>
    <row r="49" spans="2:13">
      <c r="B49" s="15" t="s">
        <v>180</v>
      </c>
      <c r="D49" s="29">
        <f>Historicals!C85+Historicals!C86+Historicals!C87+Historicals!C89</f>
        <v>8059</v>
      </c>
      <c r="E49" s="29">
        <f>Historicals!D85+Historicals!D86+Historicals!D87+Historicals!D89</f>
        <v>8299</v>
      </c>
      <c r="F49" s="29">
        <f>Historicals!E85+Historicals!E86+Historicals!E87+Historicals!E89</f>
        <v>8697</v>
      </c>
      <c r="G49" s="29">
        <f>Historicals!F85+Historicals!F86+Historicals!F87+Historicals!F89</f>
        <v>8833</v>
      </c>
      <c r="H49" s="29">
        <f>Historicals!G85+Historicals!G86+Historicals!G87+Historicals!G89</f>
        <v>13446</v>
      </c>
      <c r="I49" s="154">
        <f>SUM(Assumptions!C24:C27)</f>
        <v>13446</v>
      </c>
      <c r="J49" s="155">
        <f>SUM(Assumptions!D24:D27)</f>
        <v>13946</v>
      </c>
      <c r="K49" s="155">
        <f>SUM(Assumptions!E24:E27)</f>
        <v>13946</v>
      </c>
      <c r="L49" s="155">
        <f>SUM(Assumptions!F24:F27)</f>
        <v>13946</v>
      </c>
      <c r="M49" s="155">
        <f>SUM(Assumptions!G24:G27)</f>
        <v>13946</v>
      </c>
    </row>
    <row r="50" spans="2:13">
      <c r="B50" s="15" t="s">
        <v>181</v>
      </c>
      <c r="D50" s="29">
        <f>Historicals!C88</f>
        <v>14343</v>
      </c>
      <c r="E50" s="29">
        <f>Historicals!D88</f>
        <v>14737</v>
      </c>
      <c r="F50" s="29">
        <f>Historicals!E88</f>
        <v>13829</v>
      </c>
      <c r="G50" s="29">
        <f>Historicals!F88</f>
        <v>7487</v>
      </c>
      <c r="H50" s="29">
        <f>Historicals!G88</f>
        <v>-1753</v>
      </c>
      <c r="I50" s="154">
        <f>H50+I27-Assumptions!C21</f>
        <v>-635.07272693387881</v>
      </c>
      <c r="J50" s="155">
        <f>I50+J27-Assumptions!D21</f>
        <v>519.66483300540904</v>
      </c>
      <c r="K50" s="155">
        <f>J50+K27-Assumptions!E21</f>
        <v>1925.9897808627384</v>
      </c>
      <c r="L50" s="155">
        <f>K50+L27-Assumptions!F21</f>
        <v>3932.0167545819918</v>
      </c>
      <c r="M50" s="155">
        <f>L50+M27-Assumptions!G21</f>
        <v>6616.7612765583644</v>
      </c>
    </row>
    <row r="51" spans="2:13">
      <c r="B51" s="15" t="s">
        <v>79</v>
      </c>
      <c r="D51" s="29">
        <f>Historicals!C91</f>
        <v>568</v>
      </c>
      <c r="E51" s="29">
        <f>Historicals!D91</f>
        <v>570</v>
      </c>
      <c r="F51" s="29">
        <f>Historicals!E91</f>
        <v>524</v>
      </c>
      <c r="G51" s="29">
        <f>Historicals!F91</f>
        <v>462</v>
      </c>
      <c r="H51" s="29">
        <f>Historicals!G91</f>
        <v>1194</v>
      </c>
      <c r="I51" s="154">
        <f>1365.87945709281-4.48755717476888</f>
        <v>1361.3918999180412</v>
      </c>
      <c r="J51" s="155">
        <f>628.163925773566-0.0990715984371491</f>
        <v>628.06485417512886</v>
      </c>
      <c r="K51" s="155">
        <f>600-2.77985652223288</f>
        <v>597.22014347776712</v>
      </c>
      <c r="L51" s="155">
        <f>600-13.454085881247</f>
        <v>586.54591411875299</v>
      </c>
      <c r="M51" s="155">
        <f>600-25.435546424771</f>
        <v>574.56445357522898</v>
      </c>
    </row>
    <row r="52" spans="2:13">
      <c r="B52" s="30" t="s">
        <v>179</v>
      </c>
      <c r="C52" s="30"/>
      <c r="D52" s="31">
        <f>SUM(D49:D51)</f>
        <v>22970</v>
      </c>
      <c r="E52" s="31">
        <f t="shared" ref="E52:H52" si="35">SUM(E49:E51)</f>
        <v>23606</v>
      </c>
      <c r="F52" s="31">
        <f t="shared" si="35"/>
        <v>23050</v>
      </c>
      <c r="G52" s="31">
        <f t="shared" si="35"/>
        <v>16782</v>
      </c>
      <c r="H52" s="31">
        <f t="shared" si="35"/>
        <v>12887</v>
      </c>
      <c r="I52" s="169">
        <f t="shared" ref="I52" si="36">SUM(I49:I51)</f>
        <v>14172.319172984162</v>
      </c>
      <c r="J52" s="170">
        <f t="shared" ref="J52" si="37">SUM(J49:J51)</f>
        <v>15093.729687180537</v>
      </c>
      <c r="K52" s="170">
        <f t="shared" ref="K52" si="38">SUM(K49:K51)</f>
        <v>16469.209924340506</v>
      </c>
      <c r="L52" s="170">
        <f t="shared" ref="L52" si="39">SUM(L49:L51)</f>
        <v>18464.562668700746</v>
      </c>
      <c r="M52" s="170">
        <f t="shared" ref="M52" si="40">SUM(M49:M51)</f>
        <v>21137.325730133594</v>
      </c>
    </row>
    <row r="53" spans="2:13">
      <c r="B53" s="32" t="s">
        <v>182</v>
      </c>
      <c r="C53" s="32"/>
      <c r="D53" s="33">
        <f>D52+D47</f>
        <v>58620</v>
      </c>
      <c r="E53" s="33">
        <f t="shared" ref="E53:H53" si="41">E52+E47</f>
        <v>58393</v>
      </c>
      <c r="F53" s="33">
        <f t="shared" si="41"/>
        <v>53543</v>
      </c>
      <c r="G53" s="33">
        <f t="shared" si="41"/>
        <v>46172</v>
      </c>
      <c r="H53" s="33">
        <f t="shared" si="41"/>
        <v>43342</v>
      </c>
      <c r="I53" s="173">
        <f t="shared" ref="I53" si="42">I52+I47</f>
        <v>44434.754015983133</v>
      </c>
      <c r="J53" s="174">
        <f t="shared" ref="J53" si="43">J52+J47</f>
        <v>44905.563811843698</v>
      </c>
      <c r="K53" s="174">
        <f t="shared" ref="K53" si="44">K52+K47</f>
        <v>44800.693369887762</v>
      </c>
      <c r="L53" s="174">
        <f t="shared" ref="L53" si="45">L52+L47</f>
        <v>46192.831421351773</v>
      </c>
      <c r="M53" s="174">
        <f t="shared" ref="M53" si="46">M52+M47</f>
        <v>47949.628462926237</v>
      </c>
    </row>
    <row r="54" spans="2:13">
      <c r="B54" s="15" t="s">
        <v>186</v>
      </c>
      <c r="D54" s="29">
        <f>D38-D53</f>
        <v>0</v>
      </c>
      <c r="E54" s="29">
        <f t="shared" ref="E54:H54" si="47">E38-E53</f>
        <v>0</v>
      </c>
      <c r="F54" s="29">
        <f t="shared" si="47"/>
        <v>0</v>
      </c>
      <c r="G54" s="29">
        <f t="shared" si="47"/>
        <v>0</v>
      </c>
      <c r="H54" s="29">
        <f t="shared" si="47"/>
        <v>0</v>
      </c>
      <c r="I54" s="29">
        <f t="shared" ref="I54" si="48">I38-I53</f>
        <v>0</v>
      </c>
      <c r="J54" s="29">
        <f t="shared" ref="J54" si="49">J38-J53</f>
        <v>0</v>
      </c>
      <c r="K54" s="29">
        <f t="shared" ref="K54" si="50">K38-K53</f>
        <v>0</v>
      </c>
      <c r="L54" s="29">
        <f t="shared" ref="L54" si="51">L38-L53</f>
        <v>0</v>
      </c>
      <c r="M54" s="29">
        <f t="shared" ref="M54" si="52">M38-M53</f>
        <v>0</v>
      </c>
    </row>
    <row r="57" spans="2:13" ht="20">
      <c r="B57" s="183" t="s">
        <v>189</v>
      </c>
      <c r="C57" s="183"/>
      <c r="D57" s="183"/>
      <c r="E57" s="183"/>
      <c r="F57" s="183"/>
      <c r="G57" s="183"/>
      <c r="H57" s="183"/>
      <c r="I57" s="153"/>
      <c r="J57" s="153"/>
      <c r="K57" s="153"/>
      <c r="L57" s="153"/>
      <c r="M57" s="153"/>
    </row>
    <row r="58" spans="2:13" outlineLevel="1">
      <c r="B58" s="15" t="s">
        <v>190</v>
      </c>
      <c r="D58" s="29">
        <f>Historicals!C98</f>
        <v>4469</v>
      </c>
      <c r="E58" s="29">
        <f>Historicals!D98</f>
        <v>835</v>
      </c>
      <c r="F58" s="29">
        <f>Historicals!E98</f>
        <v>-1252</v>
      </c>
      <c r="G58" s="29">
        <f>Historicals!F98</f>
        <v>-6163</v>
      </c>
      <c r="H58" s="29">
        <f>Historicals!G98</f>
        <v>-128</v>
      </c>
      <c r="I58" s="154">
        <f>I25</f>
        <v>1025.1272730661212</v>
      </c>
      <c r="J58" s="155">
        <f t="shared" ref="J58:M58" si="53">J25</f>
        <v>1061.9375599392879</v>
      </c>
      <c r="K58" s="155">
        <f t="shared" si="53"/>
        <v>1313.5249478573294</v>
      </c>
      <c r="L58" s="155">
        <f t="shared" si="53"/>
        <v>1913.2269737192532</v>
      </c>
      <c r="M58" s="155">
        <f t="shared" si="53"/>
        <v>2591.9445219763729</v>
      </c>
    </row>
    <row r="59" spans="2:13" outlineLevel="1">
      <c r="B59" s="15" t="s">
        <v>385</v>
      </c>
      <c r="D59" s="29">
        <f>Historicals!C100</f>
        <v>390</v>
      </c>
      <c r="E59" s="29">
        <f>Historicals!D100</f>
        <v>378</v>
      </c>
      <c r="F59" s="29">
        <f>Historicals!E100</f>
        <v>418</v>
      </c>
      <c r="G59" s="29">
        <f>Historicals!F100</f>
        <v>392</v>
      </c>
      <c r="H59" s="29">
        <f>Historicals!G100</f>
        <v>794</v>
      </c>
      <c r="I59" s="154">
        <f>-I9</f>
        <v>797.96999999999991</v>
      </c>
      <c r="J59" s="194">
        <f t="shared" ref="J59:M59" si="54">-J9</f>
        <v>801.95984999999985</v>
      </c>
      <c r="K59" s="194">
        <f t="shared" si="54"/>
        <v>805.96964924999975</v>
      </c>
      <c r="L59" s="194">
        <f t="shared" si="54"/>
        <v>809.99949749624966</v>
      </c>
      <c r="M59" s="194">
        <f t="shared" si="54"/>
        <v>814.04949498373082</v>
      </c>
    </row>
    <row r="60" spans="2:13" outlineLevel="1">
      <c r="B60" s="15" t="s">
        <v>191</v>
      </c>
      <c r="D60" s="29">
        <f>SUM(Historicals!C99,Historicals!C101:C114,Historicals!C116)</f>
        <v>-3906</v>
      </c>
      <c r="E60" s="29">
        <f>SUM(Historicals!D99,Historicals!D101:D114,Historicals!D116)</f>
        <v>-994</v>
      </c>
      <c r="F60" s="29">
        <f>SUM(Historicals!E99,Historicals!E101:E114,Historicals!E116)</f>
        <v>1309</v>
      </c>
      <c r="G60" s="29">
        <f>SUM(Historicals!F99,Historicals!F101:F114,Historicals!F116)</f>
        <v>6523</v>
      </c>
      <c r="H60" s="29">
        <f>SUM(Historicals!G99,Historicals!G101:G114,Historicals!G116)</f>
        <v>-17</v>
      </c>
      <c r="I60" s="154">
        <v>300</v>
      </c>
      <c r="J60" s="155">
        <v>260</v>
      </c>
      <c r="K60" s="155">
        <v>120</v>
      </c>
      <c r="L60" s="155">
        <v>-100</v>
      </c>
      <c r="M60" s="155">
        <v>-400</v>
      </c>
    </row>
    <row r="61" spans="2:13" outlineLevel="1">
      <c r="B61" s="30" t="s">
        <v>192</v>
      </c>
      <c r="C61" s="30"/>
      <c r="D61" s="31">
        <f>SUM(D58:D60)</f>
        <v>953</v>
      </c>
      <c r="E61" s="31">
        <f t="shared" ref="E61:I61" si="55">SUM(E58:E60)</f>
        <v>219</v>
      </c>
      <c r="F61" s="31">
        <f t="shared" si="55"/>
        <v>475</v>
      </c>
      <c r="G61" s="31">
        <f t="shared" si="55"/>
        <v>752</v>
      </c>
      <c r="H61" s="31">
        <f t="shared" si="55"/>
        <v>649</v>
      </c>
      <c r="I61" s="169">
        <f t="shared" si="55"/>
        <v>2123.097273066121</v>
      </c>
      <c r="J61" s="170">
        <f t="shared" ref="J61" si="56">SUM(J58:J60)</f>
        <v>2123.8974099392876</v>
      </c>
      <c r="K61" s="170">
        <f t="shared" ref="K61" si="57">SUM(K58:K60)</f>
        <v>2239.4945971073294</v>
      </c>
      <c r="L61" s="170">
        <f t="shared" ref="L61" si="58">SUM(L58:L60)</f>
        <v>2623.2264712155029</v>
      </c>
      <c r="M61" s="170">
        <f t="shared" ref="M61" si="59">SUM(M58:M60)</f>
        <v>3005.9940169601036</v>
      </c>
    </row>
    <row r="62" spans="2:13" outlineLevel="1">
      <c r="D62" s="29"/>
      <c r="E62" s="29"/>
      <c r="F62" s="29"/>
      <c r="G62" s="29"/>
      <c r="H62" s="29"/>
      <c r="I62" s="171"/>
      <c r="J62" s="172"/>
      <c r="K62" s="172"/>
      <c r="L62" s="172"/>
      <c r="M62" s="172"/>
    </row>
    <row r="63" spans="2:13" outlineLevel="1">
      <c r="B63" s="15" t="s">
        <v>193</v>
      </c>
      <c r="D63" s="29"/>
      <c r="E63" s="29"/>
      <c r="F63" s="29"/>
      <c r="G63" s="29"/>
      <c r="H63" s="29"/>
      <c r="I63" s="163"/>
      <c r="J63" s="164"/>
      <c r="K63" s="164"/>
      <c r="L63" s="164"/>
      <c r="M63" s="164"/>
    </row>
    <row r="64" spans="2:13" outlineLevel="1">
      <c r="B64" s="15" t="s">
        <v>194</v>
      </c>
      <c r="D64" s="29">
        <f>Historicals!C119</f>
        <v>-354</v>
      </c>
      <c r="E64" s="29">
        <f>Historicals!D119</f>
        <v>-358</v>
      </c>
      <c r="F64" s="29">
        <f>Historicals!E119</f>
        <v>-328</v>
      </c>
      <c r="G64" s="29">
        <f>Historicals!F119</f>
        <v>-263</v>
      </c>
      <c r="H64" s="29">
        <f>Historicals!G119</f>
        <v>-296</v>
      </c>
      <c r="I64" s="167">
        <f>H64*(1+Assumptions!C17)</f>
        <v>-290.08</v>
      </c>
      <c r="J64" s="168">
        <f>I64*(1+Assumptions!D17)</f>
        <v>-284.27839999999998</v>
      </c>
      <c r="K64" s="168">
        <f>J64*(1+Assumptions!E17)</f>
        <v>-278.59283199999999</v>
      </c>
      <c r="L64" s="168">
        <f>K64*(1+Assumptions!F17)</f>
        <v>-273.02097535999997</v>
      </c>
      <c r="M64" s="168">
        <f>L64*(1+Assumptions!G17)</f>
        <v>-267.56055585279995</v>
      </c>
    </row>
    <row r="65" spans="2:13" outlineLevel="1">
      <c r="B65" s="15" t="s">
        <v>200</v>
      </c>
      <c r="D65" s="29">
        <f>SUM(Historicals!C118,Historicals!C120:C122,Historicals!C124)</f>
        <v>2749</v>
      </c>
      <c r="E65" s="29">
        <f>SUM(Historicals!D118,Historicals!D120:D122,Historicals!D124)</f>
        <v>-168</v>
      </c>
      <c r="F65" s="29">
        <f>SUM(Historicals!E118,Historicals!E120:E122,Historicals!E124)</f>
        <v>1270</v>
      </c>
      <c r="G65" s="29">
        <f>SUM(Historicals!F118,Historicals!F120:F122,Historicals!F124)</f>
        <v>275</v>
      </c>
      <c r="H65" s="29">
        <f>SUM(Historicals!G118,Historicals!G120:G122,Historicals!G124)</f>
        <v>-140</v>
      </c>
      <c r="I65" s="154">
        <v>-50</v>
      </c>
      <c r="J65" s="155">
        <v>50</v>
      </c>
      <c r="K65" s="155">
        <v>50</v>
      </c>
      <c r="L65" s="155">
        <v>-50</v>
      </c>
      <c r="M65" s="155">
        <v>550</v>
      </c>
    </row>
    <row r="66" spans="2:13" outlineLevel="1">
      <c r="B66" s="30" t="s">
        <v>195</v>
      </c>
      <c r="C66" s="30"/>
      <c r="D66" s="31">
        <f>SUM(D64:D65)</f>
        <v>2395</v>
      </c>
      <c r="E66" s="31">
        <f t="shared" ref="E66:H66" si="60">SUM(E64:E65)</f>
        <v>-526</v>
      </c>
      <c r="F66" s="31">
        <f t="shared" si="60"/>
        <v>942</v>
      </c>
      <c r="G66" s="31">
        <f t="shared" si="60"/>
        <v>12</v>
      </c>
      <c r="H66" s="31">
        <f t="shared" si="60"/>
        <v>-436</v>
      </c>
      <c r="I66" s="169">
        <f t="shared" ref="I66" si="61">SUM(I64:I65)</f>
        <v>-340.08</v>
      </c>
      <c r="J66" s="170">
        <f t="shared" ref="J66" si="62">SUM(J64:J65)</f>
        <v>-234.27839999999998</v>
      </c>
      <c r="K66" s="170">
        <f t="shared" ref="K66" si="63">SUM(K64:K65)</f>
        <v>-228.59283199999999</v>
      </c>
      <c r="L66" s="170">
        <f t="shared" ref="L66" si="64">SUM(L64:L65)</f>
        <v>-323.02097535999997</v>
      </c>
      <c r="M66" s="170">
        <f t="shared" ref="M66" si="65">SUM(M64:M65)</f>
        <v>282.43944414720005</v>
      </c>
    </row>
    <row r="67" spans="2:13" outlineLevel="1">
      <c r="D67" s="29"/>
      <c r="E67" s="29"/>
      <c r="F67" s="29"/>
      <c r="G67" s="29"/>
      <c r="H67" s="29"/>
      <c r="I67" s="163"/>
      <c r="J67" s="164"/>
      <c r="K67" s="164"/>
      <c r="L67" s="164"/>
      <c r="M67" s="164"/>
    </row>
    <row r="68" spans="2:13" outlineLevel="1">
      <c r="B68" s="15" t="s">
        <v>196</v>
      </c>
      <c r="D68" s="29"/>
      <c r="E68" s="29"/>
      <c r="F68" s="29"/>
      <c r="G68" s="29"/>
      <c r="H68" s="29"/>
      <c r="I68" s="163"/>
      <c r="J68" s="164"/>
      <c r="K68" s="164"/>
      <c r="L68" s="164"/>
      <c r="M68" s="164"/>
    </row>
    <row r="69" spans="2:13" outlineLevel="1">
      <c r="B69" s="15" t="s">
        <v>197</v>
      </c>
      <c r="D69" s="29">
        <f>SUM(Historicals!C126:C128)</f>
        <v>-2172</v>
      </c>
      <c r="E69" s="29">
        <f>SUM(Historicals!D126:D128)</f>
        <v>-2002</v>
      </c>
      <c r="F69" s="29">
        <f>SUM(Historicals!E126:E128)</f>
        <v>-1232</v>
      </c>
      <c r="G69" s="29">
        <f>SUM(Historicals!F126:F128)</f>
        <v>-126</v>
      </c>
      <c r="H69" s="29">
        <f>SUM(Historicals!G126:G128)</f>
        <v>-720</v>
      </c>
      <c r="I69" s="167">
        <f>I97</f>
        <v>-432</v>
      </c>
      <c r="J69" s="168">
        <f t="shared" ref="J69:M69" si="66">J97</f>
        <v>-573</v>
      </c>
      <c r="K69" s="168">
        <f t="shared" si="66"/>
        <v>-976</v>
      </c>
      <c r="L69" s="168">
        <f t="shared" si="66"/>
        <v>-489</v>
      </c>
      <c r="M69" s="168">
        <f t="shared" si="66"/>
        <v>-915</v>
      </c>
    </row>
    <row r="70" spans="2:13" outlineLevel="1">
      <c r="B70" s="15" t="s">
        <v>198</v>
      </c>
      <c r="D70" s="29">
        <f>SUM(Historicals!C129:C132)</f>
        <v>2008</v>
      </c>
      <c r="E70" s="29">
        <f>SUM(Historicals!D129:D132)</f>
        <v>-689</v>
      </c>
      <c r="F70" s="29">
        <f>SUM(Historicals!E129:E132)</f>
        <v>-447</v>
      </c>
      <c r="G70" s="29">
        <f>SUM(Historicals!F129:F132)</f>
        <v>-168</v>
      </c>
      <c r="H70" s="29">
        <f>SUM(Historicals!G129:G132)</f>
        <v>-191</v>
      </c>
      <c r="I70" s="154">
        <f>Assumptions!C21</f>
        <v>-132.80000000000001</v>
      </c>
      <c r="J70" s="155">
        <f>Assumptions!D21</f>
        <v>-132.80000000000001</v>
      </c>
      <c r="K70" s="155">
        <f>Assumptions!E21</f>
        <v>-132.80000000000001</v>
      </c>
      <c r="L70" s="155">
        <f>Assumptions!F21</f>
        <v>-132.80000000000001</v>
      </c>
      <c r="M70" s="155">
        <f>Assumptions!G21</f>
        <v>-132.80000000000001</v>
      </c>
    </row>
    <row r="71" spans="2:13" outlineLevel="1">
      <c r="B71" s="15" t="s">
        <v>201</v>
      </c>
      <c r="D71" s="29">
        <f>SUM(Historicals!C133:C136)</f>
        <v>12</v>
      </c>
      <c r="E71" s="29">
        <f>SUM(Historicals!D133:D136)</f>
        <v>-290</v>
      </c>
      <c r="F71" s="29">
        <f>SUM(Historicals!E133:E136)</f>
        <v>-162</v>
      </c>
      <c r="G71" s="29">
        <f>SUM(Historicals!F133:F136)</f>
        <v>-213</v>
      </c>
      <c r="H71" s="29">
        <f>SUM(Historicals!G133:G136)</f>
        <v>-159</v>
      </c>
      <c r="I71" s="167">
        <f>AVERAGE(F71:H71)</f>
        <v>-178</v>
      </c>
      <c r="J71" s="168">
        <f t="shared" ref="J71:M71" si="67">AVERAGE(G71:I71)</f>
        <v>-183.33333333333334</v>
      </c>
      <c r="K71" s="168">
        <f t="shared" si="67"/>
        <v>-173.44444444444446</v>
      </c>
      <c r="L71" s="168">
        <f t="shared" si="67"/>
        <v>-178.25925925925927</v>
      </c>
      <c r="M71" s="168">
        <f t="shared" si="67"/>
        <v>-178.3456790123457</v>
      </c>
    </row>
    <row r="72" spans="2:13" outlineLevel="1">
      <c r="B72" s="30" t="s">
        <v>199</v>
      </c>
      <c r="C72" s="30"/>
      <c r="D72" s="31">
        <f>SUM(D69:D71)</f>
        <v>-152</v>
      </c>
      <c r="E72" s="31">
        <f t="shared" ref="E72:H72" si="68">SUM(E69:E71)</f>
        <v>-2981</v>
      </c>
      <c r="F72" s="31">
        <f t="shared" si="68"/>
        <v>-1841</v>
      </c>
      <c r="G72" s="31">
        <f t="shared" si="68"/>
        <v>-507</v>
      </c>
      <c r="H72" s="31">
        <f t="shared" si="68"/>
        <v>-1070</v>
      </c>
      <c r="I72" s="169">
        <f t="shared" ref="I72" si="69">SUM(I69:I71)</f>
        <v>-742.8</v>
      </c>
      <c r="J72" s="170">
        <f t="shared" ref="J72" si="70">SUM(J69:J71)</f>
        <v>-889.13333333333333</v>
      </c>
      <c r="K72" s="170">
        <f t="shared" ref="K72" si="71">SUM(K69:K71)</f>
        <v>-1282.2444444444445</v>
      </c>
      <c r="L72" s="170">
        <f t="shared" ref="L72" si="72">SUM(L69:L71)</f>
        <v>-800.05925925925919</v>
      </c>
      <c r="M72" s="170">
        <f t="shared" ref="M72" si="73">SUM(M69:M71)</f>
        <v>-1226.1456790123457</v>
      </c>
    </row>
    <row r="73" spans="2:13" outlineLevel="1">
      <c r="D73" s="29"/>
      <c r="E73" s="29"/>
      <c r="F73" s="29"/>
      <c r="G73" s="29"/>
      <c r="H73" s="29"/>
      <c r="I73" s="163"/>
      <c r="J73" s="164"/>
      <c r="K73" s="164"/>
      <c r="L73" s="164"/>
      <c r="M73" s="164"/>
    </row>
    <row r="74" spans="2:13" outlineLevel="1">
      <c r="B74" s="15" t="s">
        <v>202</v>
      </c>
      <c r="D74" s="29">
        <f>SUM(D61,D66,D72)</f>
        <v>3196</v>
      </c>
      <c r="E74" s="29">
        <f t="shared" ref="E74:M74" si="74">SUM(E61,E66,E72)</f>
        <v>-3288</v>
      </c>
      <c r="F74" s="29">
        <f t="shared" si="74"/>
        <v>-424</v>
      </c>
      <c r="G74" s="29">
        <f t="shared" si="74"/>
        <v>257</v>
      </c>
      <c r="H74" s="29">
        <f t="shared" si="74"/>
        <v>-857</v>
      </c>
      <c r="I74" s="154">
        <f t="shared" si="74"/>
        <v>1040.2172730661212</v>
      </c>
      <c r="J74" s="155">
        <f t="shared" si="74"/>
        <v>1000.4856766059544</v>
      </c>
      <c r="K74" s="155">
        <f t="shared" si="74"/>
        <v>728.65732066288479</v>
      </c>
      <c r="L74" s="155">
        <f t="shared" si="74"/>
        <v>1500.1462365962434</v>
      </c>
      <c r="M74" s="155">
        <f t="shared" si="74"/>
        <v>2062.2877820949579</v>
      </c>
    </row>
    <row r="75" spans="2:13" outlineLevel="1">
      <c r="B75" s="15" t="s">
        <v>203</v>
      </c>
      <c r="D75" s="29">
        <f>Historicals!C140</f>
        <v>3119</v>
      </c>
      <c r="E75" s="29">
        <f>Historicals!D140</f>
        <v>6267</v>
      </c>
      <c r="F75" s="29">
        <f>Historicals!E140</f>
        <v>2885</v>
      </c>
      <c r="G75" s="29">
        <f>Historicals!F140</f>
        <v>2460</v>
      </c>
      <c r="H75" s="29">
        <f>Historicals!G140</f>
        <v>2661</v>
      </c>
      <c r="I75" s="167">
        <f>H77</f>
        <v>3195</v>
      </c>
      <c r="J75" s="168">
        <f t="shared" ref="J75:M75" si="75">I77</f>
        <v>4235.2172730661214</v>
      </c>
      <c r="K75" s="168">
        <f t="shared" si="75"/>
        <v>5235.7029496720761</v>
      </c>
      <c r="L75" s="168">
        <f t="shared" si="75"/>
        <v>5964.3602703349607</v>
      </c>
      <c r="M75" s="168">
        <f t="shared" si="75"/>
        <v>7464.5065069312041</v>
      </c>
    </row>
    <row r="76" spans="2:13" outlineLevel="1">
      <c r="B76" s="34" t="s">
        <v>123</v>
      </c>
      <c r="C76" s="34"/>
      <c r="D76" s="29">
        <f>Historicals!C141</f>
        <v>0</v>
      </c>
      <c r="E76" s="29">
        <f>Historicals!D141</f>
        <v>0</v>
      </c>
      <c r="F76" s="29">
        <f>Historicals!E141</f>
        <v>0</v>
      </c>
      <c r="G76" s="29">
        <f>Historicals!F141</f>
        <v>0</v>
      </c>
      <c r="H76" s="29">
        <f>Historicals!G141</f>
        <v>1391</v>
      </c>
      <c r="I76" s="161">
        <v>0</v>
      </c>
      <c r="J76" s="162">
        <v>0</v>
      </c>
      <c r="K76" s="162">
        <v>0</v>
      </c>
      <c r="L76" s="162">
        <v>0</v>
      </c>
      <c r="M76" s="162">
        <v>0</v>
      </c>
    </row>
    <row r="77" spans="2:13" outlineLevel="1">
      <c r="B77" s="30" t="s">
        <v>204</v>
      </c>
      <c r="C77" s="30"/>
      <c r="D77" s="31">
        <f>SUM(D74:D76)</f>
        <v>6315</v>
      </c>
      <c r="E77" s="31">
        <f t="shared" ref="E77:H77" si="76">SUM(E74:E76)</f>
        <v>2979</v>
      </c>
      <c r="F77" s="31">
        <f t="shared" si="76"/>
        <v>2461</v>
      </c>
      <c r="G77" s="31">
        <f t="shared" si="76"/>
        <v>2717</v>
      </c>
      <c r="H77" s="31">
        <f t="shared" si="76"/>
        <v>3195</v>
      </c>
      <c r="I77" s="169">
        <f t="shared" ref="I77" si="77">SUM(I74:I76)</f>
        <v>4235.2172730661214</v>
      </c>
      <c r="J77" s="170">
        <f t="shared" ref="J77" si="78">SUM(J74:J76)</f>
        <v>5235.7029496720761</v>
      </c>
      <c r="K77" s="170">
        <f t="shared" ref="K77" si="79">SUM(K74:K76)</f>
        <v>5964.3602703349607</v>
      </c>
      <c r="L77" s="170">
        <f t="shared" ref="L77" si="80">SUM(L74:L76)</f>
        <v>7464.5065069312041</v>
      </c>
      <c r="M77" s="170">
        <f t="shared" ref="M77" si="81">SUM(M74:M76)</f>
        <v>9526.794289026162</v>
      </c>
    </row>
    <row r="78" spans="2:13" outlineLevel="1">
      <c r="B78" s="15" t="s">
        <v>205</v>
      </c>
      <c r="D78" s="29">
        <f>D74+D75+D76-D77</f>
        <v>0</v>
      </c>
      <c r="E78" s="29">
        <f t="shared" ref="E78:H78" si="82">E74+E75+E76-E77</f>
        <v>0</v>
      </c>
      <c r="F78" s="29">
        <f t="shared" si="82"/>
        <v>0</v>
      </c>
      <c r="G78" s="29">
        <f t="shared" si="82"/>
        <v>0</v>
      </c>
      <c r="H78" s="29">
        <f t="shared" si="82"/>
        <v>0</v>
      </c>
      <c r="I78" s="29">
        <f t="shared" ref="I78" si="83">I74+I75+I76-I77</f>
        <v>0</v>
      </c>
      <c r="J78" s="29">
        <f t="shared" ref="J78" si="84">J74+J75+J76-J77</f>
        <v>0</v>
      </c>
      <c r="K78" s="29">
        <f t="shared" ref="K78" si="85">K74+K75+K76-K77</f>
        <v>0</v>
      </c>
      <c r="L78" s="29">
        <f t="shared" ref="L78" si="86">L74+L75+L76-L77</f>
        <v>0</v>
      </c>
      <c r="M78" s="29">
        <f t="shared" ref="M78" si="87">M74+M75+M76-M77</f>
        <v>0</v>
      </c>
    </row>
    <row r="81" spans="2:13" ht="20">
      <c r="B81" s="183" t="s">
        <v>206</v>
      </c>
      <c r="C81" s="183"/>
      <c r="D81" s="183"/>
      <c r="E81" s="183"/>
      <c r="F81" s="183"/>
      <c r="G81" s="183"/>
      <c r="H81" s="183"/>
      <c r="I81" s="153"/>
      <c r="J81" s="153"/>
      <c r="K81" s="153"/>
      <c r="L81" s="153"/>
      <c r="M81" s="153"/>
    </row>
    <row r="82" spans="2:13" outlineLevel="1">
      <c r="B82" s="30" t="s">
        <v>207</v>
      </c>
      <c r="C82" s="36"/>
    </row>
    <row r="83" spans="2:13" outlineLevel="1">
      <c r="B83" s="15" t="s">
        <v>208</v>
      </c>
      <c r="D83" s="38">
        <f>D32</f>
        <v>6984</v>
      </c>
      <c r="E83" s="38">
        <f t="shared" ref="E83:H83" si="88">E32</f>
        <v>7412</v>
      </c>
      <c r="F83" s="38">
        <f t="shared" si="88"/>
        <v>7115</v>
      </c>
      <c r="G83" s="38">
        <f t="shared" si="88"/>
        <v>6920</v>
      </c>
      <c r="H83" s="38">
        <f t="shared" si="88"/>
        <v>6615</v>
      </c>
      <c r="I83" s="167">
        <f>I32</f>
        <v>6880.281068091449</v>
      </c>
      <c r="J83" s="168">
        <f t="shared" ref="J83:M83" si="89">J32</f>
        <v>6976.0897779095176</v>
      </c>
      <c r="K83" s="168">
        <f t="shared" si="89"/>
        <v>7113.7459148718135</v>
      </c>
      <c r="L83" s="168">
        <f t="shared" si="89"/>
        <v>7361.0359727181494</v>
      </c>
      <c r="M83" s="168">
        <f t="shared" si="89"/>
        <v>7579.4696838814525</v>
      </c>
    </row>
    <row r="84" spans="2:13" outlineLevel="1">
      <c r="B84" s="15" t="s">
        <v>172</v>
      </c>
      <c r="D84" s="38">
        <f>D33</f>
        <v>1504</v>
      </c>
      <c r="E84" s="38">
        <f t="shared" ref="E84:H84" si="90">E33</f>
        <v>1342</v>
      </c>
      <c r="F84" s="38">
        <f t="shared" si="90"/>
        <v>1414</v>
      </c>
      <c r="G84" s="38">
        <f t="shared" si="90"/>
        <v>1429</v>
      </c>
      <c r="H84" s="38">
        <f t="shared" si="90"/>
        <v>1461</v>
      </c>
      <c r="I84" s="167">
        <f>I33</f>
        <v>1462.0754748255617</v>
      </c>
      <c r="J84" s="168">
        <f t="shared" ref="J84:M84" si="91">J33</f>
        <v>1550.228010262106</v>
      </c>
      <c r="K84" s="168">
        <f t="shared" si="91"/>
        <v>1604.2976992959861</v>
      </c>
      <c r="L84" s="168">
        <f t="shared" si="91"/>
        <v>1631.2160321425413</v>
      </c>
      <c r="M84" s="168">
        <f t="shared" si="91"/>
        <v>1667.4196345917717</v>
      </c>
    </row>
    <row r="85" spans="2:13" outlineLevel="1">
      <c r="B85" s="15" t="s">
        <v>177</v>
      </c>
      <c r="D85" s="38">
        <f>D41</f>
        <v>800</v>
      </c>
      <c r="E85" s="38">
        <f t="shared" ref="E85:H85" si="92">E41</f>
        <v>1403</v>
      </c>
      <c r="F85" s="38">
        <f t="shared" si="92"/>
        <v>1100</v>
      </c>
      <c r="G85" s="38">
        <f t="shared" si="92"/>
        <v>953</v>
      </c>
      <c r="H85" s="38">
        <f t="shared" si="92"/>
        <v>906</v>
      </c>
      <c r="I85" s="167">
        <f>I41</f>
        <v>1004.3446429989672</v>
      </c>
      <c r="J85" s="168">
        <f t="shared" ref="J85:M85" si="93">J41</f>
        <v>1019.6996006631591</v>
      </c>
      <c r="K85" s="168">
        <f t="shared" si="93"/>
        <v>1050.3826791551655</v>
      </c>
      <c r="L85" s="168">
        <f t="shared" si="93"/>
        <v>1087.0627242510252</v>
      </c>
      <c r="M85" s="168">
        <f t="shared" si="93"/>
        <v>1099.882974639193</v>
      </c>
    </row>
    <row r="86" spans="2:13" outlineLevel="1">
      <c r="B86" s="35" t="s">
        <v>209</v>
      </c>
      <c r="C86" s="35"/>
      <c r="D86" s="39">
        <f>D83+D84-D85</f>
        <v>7688</v>
      </c>
      <c r="E86" s="39">
        <f t="shared" ref="E86:I86" si="94">E83+E84-E85</f>
        <v>7351</v>
      </c>
      <c r="F86" s="39">
        <f t="shared" si="94"/>
        <v>7429</v>
      </c>
      <c r="G86" s="39">
        <f t="shared" si="94"/>
        <v>7396</v>
      </c>
      <c r="H86" s="39">
        <f t="shared" si="94"/>
        <v>7170</v>
      </c>
      <c r="I86" s="175">
        <f t="shared" si="94"/>
        <v>7338.0118999180431</v>
      </c>
      <c r="J86" s="176">
        <f t="shared" ref="J86" si="95">J83+J84-J85</f>
        <v>7506.6181875084649</v>
      </c>
      <c r="K86" s="176">
        <f t="shared" ref="K86" si="96">K83+K84-K85</f>
        <v>7667.6609350126346</v>
      </c>
      <c r="L86" s="176">
        <f t="shared" ref="L86" si="97">L83+L84-L85</f>
        <v>7905.1892806096657</v>
      </c>
      <c r="M86" s="176">
        <f t="shared" ref="M86" si="98">M83+M84-M85</f>
        <v>8147.0063438340312</v>
      </c>
    </row>
    <row r="87" spans="2:13" outlineLevel="1">
      <c r="B87" s="37" t="s">
        <v>210</v>
      </c>
      <c r="C87" s="37"/>
      <c r="D87" s="38">
        <f>D86-C86</f>
        <v>7688</v>
      </c>
      <c r="E87" s="38">
        <f t="shared" ref="E87:H87" si="99">E86-D86</f>
        <v>-337</v>
      </c>
      <c r="F87" s="38">
        <f t="shared" si="99"/>
        <v>78</v>
      </c>
      <c r="G87" s="38">
        <f t="shared" si="99"/>
        <v>-33</v>
      </c>
      <c r="H87" s="38">
        <f t="shared" si="99"/>
        <v>-226</v>
      </c>
      <c r="I87" s="167">
        <f>I86-H86</f>
        <v>168.01189991804313</v>
      </c>
      <c r="J87" s="168">
        <f>J86-I86</f>
        <v>168.60628759042174</v>
      </c>
      <c r="K87" s="168">
        <f t="shared" ref="K87" si="100">K86-J86</f>
        <v>161.04274750416971</v>
      </c>
      <c r="L87" s="168">
        <f t="shared" ref="L87" si="101">L86-K86</f>
        <v>237.52834559703115</v>
      </c>
      <c r="M87" s="168">
        <f t="shared" ref="M87" si="102">M86-L86</f>
        <v>241.81706322436548</v>
      </c>
    </row>
    <row r="88" spans="2:13" outlineLevel="1">
      <c r="B88" s="36"/>
      <c r="C88" s="36"/>
      <c r="I88" s="163"/>
      <c r="J88" s="164"/>
      <c r="K88" s="164"/>
      <c r="L88" s="164"/>
      <c r="M88" s="164"/>
    </row>
    <row r="89" spans="2:13" outlineLevel="1">
      <c r="B89" s="15" t="s">
        <v>211</v>
      </c>
      <c r="I89" s="163"/>
      <c r="J89" s="164"/>
      <c r="K89" s="164"/>
      <c r="L89" s="164"/>
      <c r="M89" s="164"/>
    </row>
    <row r="90" spans="2:13" outlineLevel="1">
      <c r="B90" s="15" t="s">
        <v>212</v>
      </c>
      <c r="D90" s="29">
        <f>1736-354+390</f>
        <v>1772</v>
      </c>
      <c r="E90" s="29">
        <f>D93</f>
        <v>1736.3899999999999</v>
      </c>
      <c r="F90" s="29">
        <f t="shared" ref="F90:M90" si="103">E93</f>
        <v>1761.75</v>
      </c>
      <c r="G90" s="29">
        <f t="shared" si="103"/>
        <v>1671.75</v>
      </c>
      <c r="H90" s="29">
        <f>H36</f>
        <v>2195</v>
      </c>
      <c r="I90" s="154">
        <f>H93</f>
        <v>2076.98</v>
      </c>
      <c r="J90" s="155">
        <f>I93</f>
        <v>1957.1802</v>
      </c>
      <c r="K90" s="155">
        <f t="shared" si="103"/>
        <v>1835.677598</v>
      </c>
      <c r="L90" s="155">
        <f t="shared" si="103"/>
        <v>1712.5472380199999</v>
      </c>
      <c r="M90" s="155">
        <f t="shared" si="103"/>
        <v>1587.8622533197999</v>
      </c>
    </row>
    <row r="91" spans="2:13" outlineLevel="1">
      <c r="B91" s="15" t="s">
        <v>213</v>
      </c>
      <c r="D91" s="29">
        <f>-D64</f>
        <v>354</v>
      </c>
      <c r="E91" s="29">
        <f t="shared" ref="E91:H91" si="104">-E64</f>
        <v>358</v>
      </c>
      <c r="F91" s="29">
        <f t="shared" si="104"/>
        <v>328</v>
      </c>
      <c r="G91" s="29">
        <f t="shared" si="104"/>
        <v>263</v>
      </c>
      <c r="H91" s="29">
        <f t="shared" si="104"/>
        <v>296</v>
      </c>
      <c r="I91" s="167">
        <f>-I64</f>
        <v>290.08</v>
      </c>
      <c r="J91" s="168">
        <f t="shared" ref="J91:M91" si="105">-J64</f>
        <v>284.27839999999998</v>
      </c>
      <c r="K91" s="168">
        <f t="shared" si="105"/>
        <v>278.59283199999999</v>
      </c>
      <c r="L91" s="168">
        <f t="shared" si="105"/>
        <v>273.02097535999997</v>
      </c>
      <c r="M91" s="168">
        <f t="shared" si="105"/>
        <v>267.56055585279995</v>
      </c>
    </row>
    <row r="92" spans="2:13" outlineLevel="1">
      <c r="B92" s="34" t="s">
        <v>214</v>
      </c>
      <c r="C92" s="34"/>
      <c r="D92" s="29">
        <f>D59*99.9%</f>
        <v>389.61000000000007</v>
      </c>
      <c r="E92" s="29">
        <f>E59*88%</f>
        <v>332.64</v>
      </c>
      <c r="F92" s="29">
        <f>-F9</f>
        <v>418</v>
      </c>
      <c r="G92" s="29">
        <f>G59*94%</f>
        <v>368.47999999999996</v>
      </c>
      <c r="H92" s="29">
        <f>-'2025 Reported Bridge'!C7*70%-'2025 Reported Bridge'!B7*0.5%</f>
        <v>414.02</v>
      </c>
      <c r="I92" s="167">
        <f>H92*(1+-1%)</f>
        <v>409.87979999999999</v>
      </c>
      <c r="J92" s="168">
        <f>I92*(1+-1%)</f>
        <v>405.781002</v>
      </c>
      <c r="K92" s="168">
        <f t="shared" ref="K92:M92" si="106">J92*(1+-1%)</f>
        <v>401.72319198000002</v>
      </c>
      <c r="L92" s="168">
        <f t="shared" si="106"/>
        <v>397.70596006020003</v>
      </c>
      <c r="M92" s="168">
        <f t="shared" si="106"/>
        <v>393.72890045959804</v>
      </c>
    </row>
    <row r="93" spans="2:13" outlineLevel="1">
      <c r="B93" s="30" t="s">
        <v>215</v>
      </c>
      <c r="C93" s="30"/>
      <c r="D93" s="39">
        <f>D90+D91-D92</f>
        <v>1736.3899999999999</v>
      </c>
      <c r="E93" s="39">
        <f t="shared" ref="E93:H93" si="107">E90+E91-E92</f>
        <v>1761.75</v>
      </c>
      <c r="F93" s="39">
        <f t="shared" si="107"/>
        <v>1671.75</v>
      </c>
      <c r="G93" s="39">
        <f t="shared" si="107"/>
        <v>1566.27</v>
      </c>
      <c r="H93" s="39">
        <f t="shared" si="107"/>
        <v>2076.98</v>
      </c>
      <c r="I93" s="175">
        <f t="shared" ref="I93" si="108">I90+I91-I92</f>
        <v>1957.1802</v>
      </c>
      <c r="J93" s="176">
        <f t="shared" ref="J93" si="109">J90+J91-J92</f>
        <v>1835.677598</v>
      </c>
      <c r="K93" s="176">
        <f t="shared" ref="K93" si="110">K90+K91-K92</f>
        <v>1712.5472380199999</v>
      </c>
      <c r="L93" s="176">
        <f t="shared" ref="L93" si="111">L90+L91-L92</f>
        <v>1587.8622533197999</v>
      </c>
      <c r="M93" s="176">
        <f t="shared" ref="M93" si="112">M90+M91-M92</f>
        <v>1461.693908713002</v>
      </c>
    </row>
    <row r="94" spans="2:13" outlineLevel="1">
      <c r="B94" s="36"/>
      <c r="C94" s="36"/>
      <c r="D94" s="38"/>
      <c r="E94" s="38"/>
      <c r="F94" s="38"/>
      <c r="G94" s="38"/>
      <c r="H94" s="38"/>
      <c r="I94" s="163"/>
      <c r="J94" s="164"/>
      <c r="K94" s="164"/>
      <c r="L94" s="164"/>
      <c r="M94" s="164"/>
    </row>
    <row r="95" spans="2:13" outlineLevel="1">
      <c r="B95" s="15" t="s">
        <v>216</v>
      </c>
      <c r="I95" s="163"/>
      <c r="J95" s="164"/>
      <c r="K95" s="164"/>
      <c r="L95" s="164"/>
      <c r="M95" s="164"/>
    </row>
    <row r="96" spans="2:13" outlineLevel="1">
      <c r="B96" s="15" t="s">
        <v>217</v>
      </c>
      <c r="D96" s="29">
        <f>D98-D97</f>
        <v>19881</v>
      </c>
      <c r="E96" s="29">
        <f>D98</f>
        <v>17709</v>
      </c>
      <c r="F96" s="29">
        <f t="shared" ref="F96:M96" si="113">E98</f>
        <v>15707</v>
      </c>
      <c r="G96" s="29">
        <f t="shared" si="113"/>
        <v>14475</v>
      </c>
      <c r="H96" s="29">
        <f t="shared" si="113"/>
        <v>14349</v>
      </c>
      <c r="I96" s="154">
        <f>H98</f>
        <v>13629</v>
      </c>
      <c r="J96" s="155">
        <f>I98</f>
        <v>13197</v>
      </c>
      <c r="K96" s="155">
        <f t="shared" si="113"/>
        <v>12624</v>
      </c>
      <c r="L96" s="155">
        <f t="shared" si="113"/>
        <v>11648</v>
      </c>
      <c r="M96" s="155">
        <f t="shared" si="113"/>
        <v>11159</v>
      </c>
    </row>
    <row r="97" spans="2:13" outlineLevel="1">
      <c r="B97" s="15" t="s">
        <v>218</v>
      </c>
      <c r="D97" s="38">
        <f>D69</f>
        <v>-2172</v>
      </c>
      <c r="E97" s="38">
        <f t="shared" ref="E97:H97" si="114">E69</f>
        <v>-2002</v>
      </c>
      <c r="F97" s="38">
        <f t="shared" si="114"/>
        <v>-1232</v>
      </c>
      <c r="G97" s="38">
        <f t="shared" si="114"/>
        <v>-126</v>
      </c>
      <c r="H97" s="38">
        <f t="shared" si="114"/>
        <v>-720</v>
      </c>
      <c r="I97" s="154">
        <f>-(D103+D104)</f>
        <v>-432</v>
      </c>
      <c r="J97" s="155">
        <f>-D105</f>
        <v>-573</v>
      </c>
      <c r="K97" s="155">
        <f>-(D106+D107)</f>
        <v>-976</v>
      </c>
      <c r="L97" s="155">
        <f>-D108</f>
        <v>-489</v>
      </c>
      <c r="M97" s="155">
        <f>-D109</f>
        <v>-915</v>
      </c>
    </row>
    <row r="98" spans="2:13" outlineLevel="1">
      <c r="B98" s="35" t="s">
        <v>219</v>
      </c>
      <c r="C98" s="35"/>
      <c r="D98" s="42">
        <f>D45+D42</f>
        <v>17709</v>
      </c>
      <c r="E98" s="42">
        <f t="shared" ref="E98:H98" si="115">SUM(E96:E97)</f>
        <v>15707</v>
      </c>
      <c r="F98" s="42">
        <f t="shared" si="115"/>
        <v>14475</v>
      </c>
      <c r="G98" s="42">
        <f t="shared" si="115"/>
        <v>14349</v>
      </c>
      <c r="H98" s="42">
        <f t="shared" si="115"/>
        <v>13629</v>
      </c>
      <c r="I98" s="177">
        <f t="shared" ref="I98" si="116">SUM(I96:I97)</f>
        <v>13197</v>
      </c>
      <c r="J98" s="178">
        <f t="shared" ref="J98" si="117">SUM(J96:J97)</f>
        <v>12624</v>
      </c>
      <c r="K98" s="178">
        <f t="shared" ref="K98" si="118">SUM(K96:K97)</f>
        <v>11648</v>
      </c>
      <c r="L98" s="178">
        <f t="shared" ref="L98" si="119">SUM(L96:L97)</f>
        <v>11159</v>
      </c>
      <c r="M98" s="178">
        <f t="shared" ref="M98" si="120">SUM(M96:M97)</f>
        <v>10244</v>
      </c>
    </row>
    <row r="99" spans="2:13" outlineLevel="1">
      <c r="B99" s="15" t="s">
        <v>220</v>
      </c>
      <c r="D99" s="29">
        <f>-D15</f>
        <v>986</v>
      </c>
      <c r="E99" s="29">
        <f t="shared" ref="E99:H99" si="121">-E15</f>
        <v>931</v>
      </c>
      <c r="F99" s="29">
        <f t="shared" si="121"/>
        <v>920</v>
      </c>
      <c r="G99" s="29">
        <f t="shared" si="121"/>
        <v>860</v>
      </c>
      <c r="H99" s="29">
        <f t="shared" si="121"/>
        <v>882</v>
      </c>
      <c r="I99" s="167">
        <f>AVERAGE(I96,I98)*Assumptions!C18</f>
        <v>804.78</v>
      </c>
      <c r="J99" s="168">
        <f>AVERAGE(J96,J98)*Assumptions!D18</f>
        <v>774.63</v>
      </c>
      <c r="K99" s="168">
        <f>AVERAGE(K96,K98)*Assumptions!E18</f>
        <v>728.16</v>
      </c>
      <c r="L99" s="168">
        <f>AVERAGE(L96,L98)*Assumptions!F18</f>
        <v>684.20999999999992</v>
      </c>
      <c r="M99" s="168">
        <f>AVERAGE(M96,M98)*Assumptions!G18</f>
        <v>642.09</v>
      </c>
    </row>
    <row r="100" spans="2:13" outlineLevel="1">
      <c r="D100" s="29"/>
      <c r="E100" s="29"/>
      <c r="F100" s="29"/>
      <c r="G100" s="29"/>
      <c r="H100" s="29"/>
    </row>
    <row r="101" spans="2:13" outlineLevel="1">
      <c r="B101" s="185" t="s">
        <v>382</v>
      </c>
      <c r="C101" s="186"/>
      <c r="D101" s="187"/>
      <c r="E101" s="29"/>
      <c r="F101" s="29"/>
      <c r="G101" s="29"/>
      <c r="H101" s="29"/>
    </row>
    <row r="102" spans="2:13" outlineLevel="1">
      <c r="B102" s="188" t="s">
        <v>275</v>
      </c>
      <c r="C102" s="189"/>
      <c r="D102" s="190"/>
      <c r="H102" s="38"/>
      <c r="I102" s="38"/>
    </row>
    <row r="103" spans="2:13" outlineLevel="1">
      <c r="B103" s="179" t="s">
        <v>250</v>
      </c>
      <c r="C103" s="37"/>
      <c r="D103" s="97">
        <v>347</v>
      </c>
    </row>
    <row r="104" spans="2:13" outlineLevel="1">
      <c r="B104" s="179" t="s">
        <v>251</v>
      </c>
      <c r="C104" s="37"/>
      <c r="D104" s="97">
        <v>85</v>
      </c>
    </row>
    <row r="105" spans="2:13" outlineLevel="1">
      <c r="B105" s="179" t="s">
        <v>252</v>
      </c>
      <c r="C105" s="37"/>
      <c r="D105" s="97">
        <v>573</v>
      </c>
    </row>
    <row r="106" spans="2:13" outlineLevel="1">
      <c r="B106" s="179" t="s">
        <v>253</v>
      </c>
      <c r="C106" s="37"/>
      <c r="D106" s="97">
        <v>487</v>
      </c>
    </row>
    <row r="107" spans="2:13" outlineLevel="1">
      <c r="B107" s="179" t="s">
        <v>254</v>
      </c>
      <c r="C107" s="37"/>
      <c r="D107" s="97">
        <v>489</v>
      </c>
    </row>
    <row r="108" spans="2:13" outlineLevel="1">
      <c r="B108" s="179" t="s">
        <v>255</v>
      </c>
      <c r="C108" s="37"/>
      <c r="D108" s="97">
        <v>489</v>
      </c>
    </row>
    <row r="109" spans="2:13" outlineLevel="1">
      <c r="B109" s="179" t="s">
        <v>256</v>
      </c>
      <c r="C109" s="37"/>
      <c r="D109" s="97">
        <v>915</v>
      </c>
    </row>
    <row r="110" spans="2:13" outlineLevel="1">
      <c r="B110" s="179" t="s">
        <v>257</v>
      </c>
      <c r="C110" s="37"/>
      <c r="D110" s="97">
        <v>1221</v>
      </c>
    </row>
    <row r="111" spans="2:13" outlineLevel="1">
      <c r="B111" s="179" t="s">
        <v>258</v>
      </c>
      <c r="C111" s="37"/>
      <c r="D111" s="97">
        <v>921</v>
      </c>
    </row>
    <row r="112" spans="2:13" outlineLevel="1">
      <c r="B112" s="179" t="s">
        <v>259</v>
      </c>
      <c r="C112" s="37"/>
      <c r="D112" s="97">
        <v>417</v>
      </c>
    </row>
    <row r="113" spans="2:4" outlineLevel="1">
      <c r="B113" s="179" t="s">
        <v>260</v>
      </c>
      <c r="C113" s="37"/>
      <c r="D113" s="97">
        <v>76</v>
      </c>
    </row>
    <row r="114" spans="2:4" outlineLevel="1">
      <c r="B114" s="179" t="s">
        <v>261</v>
      </c>
      <c r="C114" s="37"/>
      <c r="D114" s="97">
        <v>1119</v>
      </c>
    </row>
    <row r="115" spans="2:4" outlineLevel="1">
      <c r="B115" s="179" t="s">
        <v>262</v>
      </c>
      <c r="C115" s="37"/>
      <c r="D115" s="97">
        <v>75</v>
      </c>
    </row>
    <row r="116" spans="2:4" outlineLevel="1">
      <c r="B116" s="179" t="s">
        <v>263</v>
      </c>
      <c r="C116" s="37"/>
      <c r="D116" s="97">
        <v>272</v>
      </c>
    </row>
    <row r="117" spans="2:4" outlineLevel="1">
      <c r="B117" s="179" t="s">
        <v>264</v>
      </c>
      <c r="C117" s="37"/>
      <c r="D117" s="97">
        <v>34</v>
      </c>
    </row>
    <row r="118" spans="2:4" outlineLevel="1">
      <c r="B118" s="179" t="s">
        <v>265</v>
      </c>
      <c r="C118" s="37"/>
      <c r="D118" s="97">
        <v>400</v>
      </c>
    </row>
    <row r="119" spans="2:4" outlineLevel="1">
      <c r="B119" s="179" t="s">
        <v>266</v>
      </c>
      <c r="C119" s="37"/>
      <c r="D119" s="97">
        <v>1079</v>
      </c>
    </row>
    <row r="120" spans="2:4" outlineLevel="1">
      <c r="B120" s="179" t="s">
        <v>267</v>
      </c>
      <c r="C120" s="37"/>
      <c r="D120" s="97">
        <v>14</v>
      </c>
    </row>
    <row r="121" spans="2:4" outlineLevel="1">
      <c r="B121" s="179" t="s">
        <v>268</v>
      </c>
      <c r="C121" s="37"/>
      <c r="D121" s="97">
        <v>1103</v>
      </c>
    </row>
    <row r="122" spans="2:4" outlineLevel="1">
      <c r="B122" s="179" t="s">
        <v>269</v>
      </c>
      <c r="C122" s="37"/>
      <c r="D122" s="97">
        <v>275</v>
      </c>
    </row>
    <row r="123" spans="2:4" outlineLevel="1">
      <c r="B123" s="179" t="s">
        <v>270</v>
      </c>
      <c r="C123" s="37"/>
      <c r="D123" s="97">
        <v>432</v>
      </c>
    </row>
    <row r="124" spans="2:4" outlineLevel="1">
      <c r="B124" s="179" t="s">
        <v>271</v>
      </c>
      <c r="C124" s="37"/>
      <c r="D124" s="97">
        <v>452</v>
      </c>
    </row>
    <row r="125" spans="2:4" outlineLevel="1">
      <c r="B125" s="179" t="s">
        <v>272</v>
      </c>
      <c r="C125" s="37"/>
      <c r="D125" s="97">
        <v>763</v>
      </c>
    </row>
    <row r="126" spans="2:4" outlineLevel="1">
      <c r="B126" s="179" t="s">
        <v>273</v>
      </c>
      <c r="C126" s="37"/>
      <c r="D126" s="97">
        <v>628</v>
      </c>
    </row>
    <row r="127" spans="2:4" outlineLevel="1">
      <c r="B127" s="179" t="s">
        <v>274</v>
      </c>
      <c r="C127" s="37"/>
      <c r="D127" s="97">
        <v>989</v>
      </c>
    </row>
    <row r="128" spans="2:4" outlineLevel="1">
      <c r="B128" s="180" t="s">
        <v>342</v>
      </c>
      <c r="C128" s="181"/>
      <c r="D128" s="182">
        <f>SUM(D103:D127)</f>
        <v>13655</v>
      </c>
    </row>
    <row r="129" outlineLevel="1"/>
    <row r="130" outlineLevel="1"/>
  </sheetData>
  <mergeCells count="8">
    <mergeCell ref="B101:D101"/>
    <mergeCell ref="B102:D102"/>
    <mergeCell ref="B4:H4"/>
    <mergeCell ref="I2:M2"/>
    <mergeCell ref="D2:H2"/>
    <mergeCell ref="B30:H30"/>
    <mergeCell ref="B57:H57"/>
    <mergeCell ref="B81:H81"/>
  </mergeCells>
  <pageMargins left="0.7" right="0.7" top="0.75" bottom="0.75" header="0.3" footer="0.3"/>
  <ignoredErrors>
    <ignoredError sqref="D46 D12:H12 D37:H37 E46:H46 D69:H71 I19" formulaRange="1"/>
    <ignoredError sqref="E92 H90"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0B09-CEBA-0048-AEB3-FEDB00F089D0}">
  <dimension ref="B3:L27"/>
  <sheetViews>
    <sheetView showGridLines="0" workbookViewId="0">
      <selection activeCell="H20" sqref="H20"/>
    </sheetView>
  </sheetViews>
  <sheetFormatPr baseColWidth="10" defaultRowHeight="14"/>
  <cols>
    <col min="1" max="1" width="4.1640625" style="7" customWidth="1"/>
    <col min="2" max="2" width="58.33203125" style="7" bestFit="1" customWidth="1"/>
    <col min="3" max="3" width="19.5" style="7" bestFit="1" customWidth="1"/>
    <col min="4" max="7" width="10.83203125" style="7"/>
    <col min="8" max="8" width="47.5" style="7" customWidth="1"/>
    <col min="9" max="11" width="10.83203125" style="7"/>
    <col min="12" max="12" width="11.5" style="7" bestFit="1" customWidth="1"/>
    <col min="13" max="16384" width="10.83203125" style="7"/>
  </cols>
  <sheetData>
    <row r="3" spans="2:12" ht="23">
      <c r="B3" s="213" t="s">
        <v>221</v>
      </c>
      <c r="C3" s="213">
        <v>2026</v>
      </c>
      <c r="D3" s="213">
        <v>2027</v>
      </c>
      <c r="E3" s="213">
        <v>2028</v>
      </c>
      <c r="F3" s="213">
        <v>2029</v>
      </c>
      <c r="G3" s="213">
        <v>2030</v>
      </c>
      <c r="H3" s="213" t="s">
        <v>222</v>
      </c>
      <c r="J3" s="200">
        <v>2024</v>
      </c>
      <c r="K3" s="200">
        <v>2025</v>
      </c>
      <c r="L3" s="200" t="s">
        <v>313</v>
      </c>
    </row>
    <row r="4" spans="2:12" ht="45">
      <c r="B4" s="200" t="s">
        <v>223</v>
      </c>
      <c r="C4" s="201">
        <v>-0.03</v>
      </c>
      <c r="D4" s="201">
        <v>-0.03</v>
      </c>
      <c r="E4" s="201">
        <v>-0.03</v>
      </c>
      <c r="F4" s="201">
        <v>-0.03</v>
      </c>
      <c r="G4" s="201">
        <v>-0.03</v>
      </c>
      <c r="H4" s="203" t="s">
        <v>226</v>
      </c>
      <c r="J4" s="211">
        <v>19450</v>
      </c>
      <c r="K4" s="211">
        <v>18780</v>
      </c>
      <c r="L4" s="212">
        <f>K4/J4-1</f>
        <v>-3.4447300771208278E-2</v>
      </c>
    </row>
    <row r="5" spans="2:12" ht="75">
      <c r="B5" s="200" t="s">
        <v>224</v>
      </c>
      <c r="C5" s="201">
        <v>0.1</v>
      </c>
      <c r="D5" s="201">
        <v>0.12</v>
      </c>
      <c r="E5" s="201">
        <v>0.13</v>
      </c>
      <c r="F5" s="202">
        <v>0.14499999999999999</v>
      </c>
      <c r="G5" s="201">
        <v>0.15</v>
      </c>
      <c r="H5" s="203" t="s">
        <v>227</v>
      </c>
      <c r="J5" s="211">
        <v>7560</v>
      </c>
      <c r="K5" s="211">
        <v>7630</v>
      </c>
      <c r="L5" s="212">
        <f t="shared" ref="L5:L6" si="0">K5/J5-1</f>
        <v>9.2592592592593004E-3</v>
      </c>
    </row>
    <row r="6" spans="2:12" ht="90">
      <c r="B6" s="200" t="s">
        <v>225</v>
      </c>
      <c r="C6" s="201">
        <v>0.05</v>
      </c>
      <c r="D6" s="201">
        <v>0.08</v>
      </c>
      <c r="E6" s="201">
        <v>0.09</v>
      </c>
      <c r="F6" s="201">
        <v>0.1</v>
      </c>
      <c r="G6" s="201">
        <v>0.11</v>
      </c>
      <c r="H6" s="203" t="s">
        <v>228</v>
      </c>
      <c r="J6" s="211">
        <v>2940</v>
      </c>
      <c r="K6" s="211">
        <v>3280</v>
      </c>
      <c r="L6" s="212">
        <f t="shared" si="0"/>
        <v>0.11564625850340127</v>
      </c>
    </row>
    <row r="7" spans="2:12" ht="41" customHeight="1">
      <c r="B7" s="209" t="s">
        <v>169</v>
      </c>
      <c r="C7" s="210">
        <f>SUMPRODUCT($K$4:$K$6,C4:C6)/SUM($K$4:$K$6)</f>
        <v>1.2246547659144494E-2</v>
      </c>
      <c r="D7" s="210">
        <f t="shared" ref="D7:G7" si="1">SUMPRODUCT($K$4:$K$6,D4:D6)/SUM($K$4:$K$6)</f>
        <v>2.0700572583361401E-2</v>
      </c>
      <c r="E7" s="210">
        <f t="shared" si="1"/>
        <v>2.4375210508588752E-2</v>
      </c>
      <c r="F7" s="210">
        <f t="shared" si="1"/>
        <v>2.9334792859548667E-2</v>
      </c>
      <c r="G7" s="210">
        <f t="shared" si="1"/>
        <v>3.1724486359043451E-2</v>
      </c>
      <c r="H7" s="214"/>
    </row>
    <row r="8" spans="2:12" ht="120">
      <c r="B8" s="200" t="s">
        <v>229</v>
      </c>
      <c r="C8" s="201">
        <v>0.02</v>
      </c>
      <c r="D8" s="201">
        <v>0.05</v>
      </c>
      <c r="E8" s="201">
        <v>3.5000000000000003E-2</v>
      </c>
      <c r="F8" s="201">
        <v>0.02</v>
      </c>
      <c r="G8" s="201">
        <v>0.02</v>
      </c>
      <c r="H8" s="203" t="s">
        <v>384</v>
      </c>
    </row>
    <row r="9" spans="2:12" ht="75">
      <c r="B9" s="200" t="s">
        <v>230</v>
      </c>
      <c r="C9" s="201">
        <v>0.03</v>
      </c>
      <c r="D9" s="201">
        <v>0.04</v>
      </c>
      <c r="E9" s="201">
        <v>0.05</v>
      </c>
      <c r="F9" s="201">
        <v>0.05</v>
      </c>
      <c r="G9" s="201">
        <v>0.05</v>
      </c>
      <c r="H9" s="203" t="s">
        <v>231</v>
      </c>
    </row>
    <row r="10" spans="2:12" ht="45">
      <c r="B10" s="200" t="s">
        <v>232</v>
      </c>
      <c r="C10" s="201">
        <v>-0.22</v>
      </c>
      <c r="D10" s="201">
        <v>-0.06</v>
      </c>
      <c r="E10" s="201">
        <v>-0.04</v>
      </c>
      <c r="F10" s="202">
        <v>-4.4999999999999998E-2</v>
      </c>
      <c r="G10" s="201">
        <v>-0.05</v>
      </c>
      <c r="H10" s="203" t="s">
        <v>383</v>
      </c>
    </row>
    <row r="11" spans="2:12" ht="135">
      <c r="B11" s="200" t="s">
        <v>233</v>
      </c>
      <c r="C11" s="202">
        <v>5.0000000000000001E-3</v>
      </c>
      <c r="D11" s="202">
        <v>5.0000000000000001E-3</v>
      </c>
      <c r="E11" s="202">
        <v>5.0000000000000001E-3</v>
      </c>
      <c r="F11" s="202">
        <v>5.0000000000000001E-3</v>
      </c>
      <c r="G11" s="202">
        <v>5.0000000000000001E-3</v>
      </c>
      <c r="H11" s="203" t="s">
        <v>249</v>
      </c>
    </row>
    <row r="12" spans="2:12" ht="75">
      <c r="B12" s="200" t="s">
        <v>234</v>
      </c>
      <c r="C12" s="201">
        <v>-0.15</v>
      </c>
      <c r="D12" s="201">
        <v>-0.2</v>
      </c>
      <c r="E12" s="201">
        <v>-0.25</v>
      </c>
      <c r="F12" s="201">
        <v>-0.3</v>
      </c>
      <c r="G12" s="201">
        <v>-0.35</v>
      </c>
      <c r="H12" s="203" t="s">
        <v>235</v>
      </c>
    </row>
    <row r="13" spans="2:12" ht="60">
      <c r="B13" s="204" t="s">
        <v>15</v>
      </c>
      <c r="C13" s="201">
        <v>0.02</v>
      </c>
      <c r="D13" s="201">
        <v>-0.08</v>
      </c>
      <c r="E13" s="201">
        <v>-0.08</v>
      </c>
      <c r="F13" s="201">
        <v>-0.08</v>
      </c>
      <c r="G13" s="201">
        <v>-0.08</v>
      </c>
      <c r="H13" s="203" t="s">
        <v>236</v>
      </c>
    </row>
    <row r="14" spans="2:12" ht="16">
      <c r="B14" s="205" t="s">
        <v>242</v>
      </c>
      <c r="C14" s="206">
        <f>AVERAGE(Historicals!E10:G10)</f>
        <v>85.871720820607337</v>
      </c>
      <c r="D14" s="206">
        <f>AVERAGE(C14,Historicals!F10:G10)</f>
        <v>85.301700425947601</v>
      </c>
      <c r="E14" s="206">
        <f>AVERAGE(C14:D14,Historicals!G10)</f>
        <v>84.915098280135894</v>
      </c>
      <c r="F14" s="206">
        <f t="shared" ref="F14:G16" si="2">AVERAGE(C14:E14)</f>
        <v>85.362839842230287</v>
      </c>
      <c r="G14" s="206">
        <f t="shared" si="2"/>
        <v>85.193212849437927</v>
      </c>
      <c r="H14" s="215" t="s">
        <v>246</v>
      </c>
    </row>
    <row r="15" spans="2:12" ht="16">
      <c r="B15" s="205" t="s">
        <v>244</v>
      </c>
      <c r="C15" s="206">
        <f>AVERAGE(Historicals!E11:G11)</f>
        <v>26.564796893375448</v>
      </c>
      <c r="D15" s="206">
        <f>AVERAGE(C15,Historicals!F11:G11)</f>
        <v>26.825201206620793</v>
      </c>
      <c r="E15" s="206">
        <f>AVERAGE(C15:D15,Historicals!G11)</f>
        <v>26.822053187432104</v>
      </c>
      <c r="F15" s="206">
        <f t="shared" si="2"/>
        <v>26.737350429142783</v>
      </c>
      <c r="G15" s="206">
        <f t="shared" si="2"/>
        <v>26.794868274398556</v>
      </c>
      <c r="H15" s="215" t="s">
        <v>246</v>
      </c>
    </row>
    <row r="16" spans="2:12" ht="16">
      <c r="B16" s="205" t="s">
        <v>243</v>
      </c>
      <c r="C16" s="206">
        <f>AVERAGE(Historicals!E12:G12)</f>
        <v>18.248176589789537</v>
      </c>
      <c r="D16" s="206">
        <f>AVERAGE(C16,Historicals!F12:G12)</f>
        <v>17.644918539096242</v>
      </c>
      <c r="E16" s="206">
        <f>AVERAGE(C16:D16,Historicals!G12)</f>
        <v>17.56121703585352</v>
      </c>
      <c r="F16" s="206">
        <f t="shared" si="2"/>
        <v>17.818104054913096</v>
      </c>
      <c r="G16" s="206">
        <f t="shared" si="2"/>
        <v>17.674746543287622</v>
      </c>
      <c r="H16" s="215" t="s">
        <v>246</v>
      </c>
    </row>
    <row r="17" spans="2:8" ht="45">
      <c r="B17" s="200" t="s">
        <v>245</v>
      </c>
      <c r="C17" s="201">
        <v>-0.02</v>
      </c>
      <c r="D17" s="201">
        <v>-0.02</v>
      </c>
      <c r="E17" s="201">
        <v>-0.02</v>
      </c>
      <c r="F17" s="201">
        <v>-0.02</v>
      </c>
      <c r="G17" s="201">
        <v>-0.02</v>
      </c>
      <c r="H17" s="203" t="s">
        <v>247</v>
      </c>
    </row>
    <row r="18" spans="2:8">
      <c r="B18" s="200" t="s">
        <v>276</v>
      </c>
      <c r="C18" s="201">
        <v>0.06</v>
      </c>
      <c r="D18" s="201">
        <v>0.06</v>
      </c>
      <c r="E18" s="201">
        <v>0.06</v>
      </c>
      <c r="F18" s="201">
        <v>0.06</v>
      </c>
      <c r="G18" s="201">
        <v>0.06</v>
      </c>
      <c r="H18" s="215" t="s">
        <v>277</v>
      </c>
    </row>
    <row r="19" spans="2:8">
      <c r="B19" s="200" t="s">
        <v>279</v>
      </c>
      <c r="C19" s="201">
        <v>0.24</v>
      </c>
      <c r="D19" s="201">
        <v>0.24</v>
      </c>
      <c r="E19" s="201">
        <v>0.24</v>
      </c>
      <c r="F19" s="201">
        <v>0.24</v>
      </c>
      <c r="G19" s="201">
        <v>0.24</v>
      </c>
      <c r="H19" s="215" t="s">
        <v>386</v>
      </c>
    </row>
    <row r="20" spans="2:8" ht="16">
      <c r="B20" s="204" t="s">
        <v>111</v>
      </c>
      <c r="C20" s="207">
        <v>0</v>
      </c>
      <c r="D20" s="207">
        <v>0</v>
      </c>
      <c r="E20" s="207">
        <v>0</v>
      </c>
      <c r="F20" s="207">
        <v>0</v>
      </c>
      <c r="G20" s="207">
        <v>0</v>
      </c>
      <c r="H20" s="215" t="s">
        <v>277</v>
      </c>
    </row>
    <row r="21" spans="2:8" ht="45">
      <c r="B21" s="204" t="s">
        <v>112</v>
      </c>
      <c r="C21" s="208">
        <f>-Historicals!$F$46*0.2</f>
        <v>-132.80000000000001</v>
      </c>
      <c r="D21" s="208">
        <f>-Historicals!$F$46*0.2</f>
        <v>-132.80000000000001</v>
      </c>
      <c r="E21" s="208">
        <f>-Historicals!$F$46*0.2</f>
        <v>-132.80000000000001</v>
      </c>
      <c r="F21" s="208">
        <f>-Historicals!$F$46*0.2</f>
        <v>-132.80000000000001</v>
      </c>
      <c r="G21" s="208">
        <f>-Historicals!$F$46*0.2</f>
        <v>-132.80000000000001</v>
      </c>
      <c r="H21" s="203" t="s">
        <v>278</v>
      </c>
    </row>
    <row r="22" spans="2:8" ht="16">
      <c r="B22" s="204" t="s">
        <v>113</v>
      </c>
      <c r="C22" s="208">
        <v>0</v>
      </c>
      <c r="D22" s="208">
        <v>0</v>
      </c>
      <c r="E22" s="208">
        <v>0</v>
      </c>
      <c r="F22" s="208">
        <v>0</v>
      </c>
      <c r="G22" s="208">
        <v>0</v>
      </c>
      <c r="H22" s="215" t="s">
        <v>277</v>
      </c>
    </row>
    <row r="23" spans="2:8" ht="16">
      <c r="B23" s="204" t="s">
        <v>114</v>
      </c>
      <c r="C23" s="208">
        <v>0</v>
      </c>
      <c r="D23" s="208">
        <v>0</v>
      </c>
      <c r="E23" s="208">
        <v>0</v>
      </c>
      <c r="F23" s="208">
        <v>0</v>
      </c>
      <c r="G23" s="208">
        <v>0</v>
      </c>
      <c r="H23" s="215" t="s">
        <v>277</v>
      </c>
    </row>
    <row r="24" spans="2:8" ht="16">
      <c r="B24" s="204" t="s">
        <v>73</v>
      </c>
      <c r="C24" s="208">
        <v>1</v>
      </c>
      <c r="D24" s="208">
        <v>1</v>
      </c>
      <c r="E24" s="208">
        <v>1</v>
      </c>
      <c r="F24" s="208">
        <v>1</v>
      </c>
      <c r="G24" s="208">
        <v>1</v>
      </c>
      <c r="H24" s="215" t="s">
        <v>277</v>
      </c>
    </row>
    <row r="25" spans="2:8" ht="16">
      <c r="B25" s="204" t="s">
        <v>74</v>
      </c>
      <c r="C25" s="208">
        <f>Historicals!G86</f>
        <v>13386</v>
      </c>
      <c r="D25" s="208">
        <v>13886</v>
      </c>
      <c r="E25" s="208">
        <v>13886</v>
      </c>
      <c r="F25" s="208">
        <v>13886</v>
      </c>
      <c r="G25" s="208">
        <v>13886</v>
      </c>
      <c r="H25" s="215" t="s">
        <v>277</v>
      </c>
    </row>
    <row r="26" spans="2:8" ht="16">
      <c r="B26" s="204" t="s">
        <v>75</v>
      </c>
      <c r="C26" s="208">
        <f>Historicals!G87</f>
        <v>0</v>
      </c>
      <c r="D26" s="208">
        <f>Historicals!H87</f>
        <v>0</v>
      </c>
      <c r="E26" s="208">
        <f>Historicals!I87</f>
        <v>0</v>
      </c>
      <c r="F26" s="208">
        <f>Historicals!J87</f>
        <v>0</v>
      </c>
      <c r="G26" s="208">
        <f>Historicals!K87</f>
        <v>0</v>
      </c>
      <c r="H26" s="215" t="s">
        <v>277</v>
      </c>
    </row>
    <row r="27" spans="2:8" ht="16">
      <c r="B27" s="204" t="s">
        <v>77</v>
      </c>
      <c r="C27" s="208">
        <f>Historicals!G89</f>
        <v>59</v>
      </c>
      <c r="D27" s="208">
        <v>59</v>
      </c>
      <c r="E27" s="208">
        <v>59</v>
      </c>
      <c r="F27" s="208">
        <v>59</v>
      </c>
      <c r="G27" s="208">
        <v>59</v>
      </c>
      <c r="H27" s="215" t="s">
        <v>277</v>
      </c>
    </row>
  </sheetData>
  <pageMargins left="0.7" right="0.7" top="0.75" bottom="0.75" header="0.3" footer="0.3"/>
  <ignoredErrors>
    <ignoredError sqref="C7:G7"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25F51-F923-AA40-9091-6EB22DFDFFB1}">
  <dimension ref="A1:O119"/>
  <sheetViews>
    <sheetView showGridLines="0" topLeftCell="A20" workbookViewId="0">
      <selection activeCell="D65" sqref="D65"/>
    </sheetView>
  </sheetViews>
  <sheetFormatPr baseColWidth="10" defaultRowHeight="14"/>
  <cols>
    <col min="1" max="1" width="5.33203125" style="7" customWidth="1"/>
    <col min="2" max="2" width="14.5" style="7" bestFit="1" customWidth="1"/>
    <col min="3" max="3" width="9.5" style="7" customWidth="1"/>
    <col min="4" max="4" width="11.6640625" style="7" bestFit="1" customWidth="1"/>
    <col min="5" max="5" width="7" style="7" customWidth="1"/>
    <col min="6" max="6" width="11.1640625" style="7" bestFit="1" customWidth="1"/>
    <col min="7" max="7" width="17.33203125" style="7" customWidth="1"/>
    <col min="8" max="8" width="10.83203125" style="7"/>
    <col min="9" max="9" width="11.5" style="7" bestFit="1" customWidth="1"/>
    <col min="10" max="13" width="10.83203125" style="7"/>
    <col min="14" max="15" width="14" style="7" bestFit="1" customWidth="1"/>
    <col min="16" max="16384" width="10.83203125" style="7"/>
  </cols>
  <sheetData>
    <row r="1" spans="1:14">
      <c r="A1" s="191"/>
      <c r="B1" s="191"/>
      <c r="C1" s="191"/>
      <c r="D1" s="191"/>
      <c r="E1" s="191"/>
      <c r="F1" s="191"/>
      <c r="G1" s="191"/>
      <c r="H1" s="191"/>
      <c r="I1" s="191"/>
      <c r="J1" s="191"/>
      <c r="K1" s="191"/>
      <c r="L1" s="191"/>
      <c r="M1" s="191"/>
      <c r="N1" s="191"/>
    </row>
    <row r="2" spans="1:14" ht="17" customHeight="1"/>
    <row r="3" spans="1:14" ht="15" thickBot="1">
      <c r="B3" s="216"/>
      <c r="C3" s="216"/>
      <c r="D3" s="216"/>
      <c r="E3" s="217"/>
      <c r="F3" s="218" t="s">
        <v>280</v>
      </c>
      <c r="G3" s="218" t="s">
        <v>280</v>
      </c>
      <c r="H3" s="218" t="s">
        <v>281</v>
      </c>
      <c r="I3" s="198" t="s">
        <v>282</v>
      </c>
      <c r="J3" s="198" t="s">
        <v>283</v>
      </c>
      <c r="K3" s="198" t="s">
        <v>284</v>
      </c>
      <c r="L3" s="198" t="s">
        <v>285</v>
      </c>
      <c r="M3" s="198" t="s">
        <v>286</v>
      </c>
      <c r="N3" s="219" t="s">
        <v>287</v>
      </c>
    </row>
    <row r="4" spans="1:14">
      <c r="N4" s="53"/>
    </row>
    <row r="5" spans="1:14">
      <c r="B5" s="7" t="s">
        <v>237</v>
      </c>
      <c r="F5" s="8"/>
      <c r="G5" s="54">
        <f>G11/F11-1</f>
        <v>-1.4805072170511302E-2</v>
      </c>
      <c r="H5" s="54">
        <f t="shared" ref="H5:M5" si="0">H11/G11-1</f>
        <v>-1.1022489987334461E-2</v>
      </c>
      <c r="I5" s="54">
        <f t="shared" si="0"/>
        <v>1.2246547659144458E-2</v>
      </c>
      <c r="J5" s="54">
        <f t="shared" si="0"/>
        <v>2.0700572583361332E-2</v>
      </c>
      <c r="K5" s="54">
        <f t="shared" si="0"/>
        <v>2.4375210508588818E-2</v>
      </c>
      <c r="L5" s="54">
        <f t="shared" si="0"/>
        <v>2.9334792859548653E-2</v>
      </c>
      <c r="M5" s="54">
        <f t="shared" si="0"/>
        <v>3.1724486359043347E-2</v>
      </c>
      <c r="N5" s="55">
        <v>0.04</v>
      </c>
    </row>
    <row r="6" spans="1:14">
      <c r="B6" s="7" t="s">
        <v>288</v>
      </c>
      <c r="C6" s="7" t="s">
        <v>289</v>
      </c>
      <c r="F6" s="54">
        <f>-F12/F11</f>
        <v>0.67506407662215029</v>
      </c>
      <c r="G6" s="54">
        <f t="shared" ref="G6:M6" si="1">-G12/G11</f>
        <v>0.66535446547769828</v>
      </c>
      <c r="H6" s="54">
        <f t="shared" si="1"/>
        <v>0.68170018344813266</v>
      </c>
      <c r="I6" s="54">
        <f t="shared" si="1"/>
        <v>0.68692176695991702</v>
      </c>
      <c r="J6" s="54">
        <f t="shared" si="1"/>
        <v>0.70664000264289695</v>
      </c>
      <c r="K6" s="54">
        <f t="shared" si="1"/>
        <v>0.71396925192311267</v>
      </c>
      <c r="L6" s="54">
        <f t="shared" si="1"/>
        <v>0.70749443428261105</v>
      </c>
      <c r="M6" s="54">
        <f t="shared" si="1"/>
        <v>0.69945448858633441</v>
      </c>
      <c r="N6" s="55">
        <v>0.73</v>
      </c>
    </row>
    <row r="7" spans="1:14">
      <c r="B7" s="7" t="s">
        <v>290</v>
      </c>
      <c r="C7" s="7" t="s">
        <v>289</v>
      </c>
      <c r="F7" s="54">
        <f>F15/F11</f>
        <v>0.32604883313098609</v>
      </c>
      <c r="G7" s="54">
        <f t="shared" ref="G7:M7" si="2">G15/G11</f>
        <v>0.50159175709444426</v>
      </c>
      <c r="H7" s="54">
        <f t="shared" si="2"/>
        <v>0.25970025267384306</v>
      </c>
      <c r="I7" s="54">
        <f t="shared" si="2"/>
        <v>0.210566556780303</v>
      </c>
      <c r="J7" s="54">
        <f t="shared" si="2"/>
        <v>0.19262407993631672</v>
      </c>
      <c r="K7" s="54">
        <f t="shared" si="2"/>
        <v>0.17846034408138284</v>
      </c>
      <c r="L7" s="54">
        <f t="shared" si="2"/>
        <v>0.16392544966752726</v>
      </c>
      <c r="M7" s="54">
        <f t="shared" si="2"/>
        <v>0.14970245760578185</v>
      </c>
      <c r="N7" s="55">
        <v>0.18</v>
      </c>
    </row>
    <row r="8" spans="1:14">
      <c r="F8" s="8"/>
      <c r="G8" s="8"/>
      <c r="H8" s="8"/>
      <c r="I8" s="8"/>
      <c r="J8" s="8"/>
      <c r="K8" s="8"/>
      <c r="L8" s="8"/>
      <c r="M8" s="8"/>
      <c r="N8" s="56"/>
    </row>
    <row r="9" spans="1:14">
      <c r="B9" s="7" t="s">
        <v>291</v>
      </c>
      <c r="F9" s="8"/>
      <c r="G9" s="54">
        <f>G18/F18-1</f>
        <v>-6.2200956937799035E-2</v>
      </c>
      <c r="H9" s="54">
        <f t="shared" ref="H9:M9" si="3">H18/G18-1</f>
        <v>1.0255102040816326</v>
      </c>
      <c r="I9" s="54">
        <f t="shared" si="3"/>
        <v>4.9999999999998934E-3</v>
      </c>
      <c r="J9" s="54">
        <f t="shared" si="3"/>
        <v>4.9999999999998934E-3</v>
      </c>
      <c r="K9" s="54">
        <f t="shared" si="3"/>
        <v>4.9999999999998934E-3</v>
      </c>
      <c r="L9" s="54">
        <f t="shared" si="3"/>
        <v>4.9999999999998934E-3</v>
      </c>
      <c r="M9" s="54">
        <f t="shared" si="3"/>
        <v>4.9999999999998934E-3</v>
      </c>
      <c r="N9" s="55">
        <v>5.0000000000000001E-3</v>
      </c>
    </row>
    <row r="10" spans="1:14">
      <c r="F10" s="8"/>
      <c r="G10" s="8"/>
      <c r="H10" s="8"/>
      <c r="I10" s="8"/>
      <c r="J10" s="8"/>
      <c r="K10" s="8"/>
      <c r="L10" s="8"/>
      <c r="M10" s="8"/>
      <c r="N10" s="56"/>
    </row>
    <row r="11" spans="1:14">
      <c r="B11" s="7" t="s">
        <v>169</v>
      </c>
      <c r="F11" s="8">
        <f>Forecast!F5</f>
        <v>29652</v>
      </c>
      <c r="G11" s="8">
        <f>Forecast!G5</f>
        <v>29213</v>
      </c>
      <c r="H11" s="8">
        <f>Forecast!H5</f>
        <v>28891</v>
      </c>
      <c r="I11" s="8">
        <f>Forecast!I5</f>
        <v>29244.815008420341</v>
      </c>
      <c r="J11" s="8">
        <f>Forecast!J5</f>
        <v>29850.199424189123</v>
      </c>
      <c r="K11" s="8">
        <f>Forecast!K5</f>
        <v>30577.80431887709</v>
      </c>
      <c r="L11" s="8">
        <f>Forecast!L5</f>
        <v>31474.79787467116</v>
      </c>
      <c r="M11" s="8">
        <f>Forecast!M5</f>
        <v>32473.319670499812</v>
      </c>
      <c r="N11" s="56">
        <f>M11*(1+N5)</f>
        <v>33772.252457319802</v>
      </c>
    </row>
    <row r="12" spans="1:14">
      <c r="B12" s="7" t="s">
        <v>288</v>
      </c>
      <c r="F12" s="8">
        <f>Forecast!F6</f>
        <v>-20017</v>
      </c>
      <c r="G12" s="8">
        <f>Forecast!G6</f>
        <v>-19437</v>
      </c>
      <c r="H12" s="8">
        <f>Forecast!H6</f>
        <v>-19695</v>
      </c>
      <c r="I12" s="8">
        <f>Forecast!I6</f>
        <v>-20088.900000000001</v>
      </c>
      <c r="J12" s="8">
        <f>Forecast!J6</f>
        <v>-21093.345000000001</v>
      </c>
      <c r="K12" s="8">
        <f>Forecast!K6</f>
        <v>-21831.612075000001</v>
      </c>
      <c r="L12" s="8">
        <f>Forecast!L6</f>
        <v>-22268.2443165</v>
      </c>
      <c r="M12" s="8">
        <f>Forecast!M6</f>
        <v>-22713.609202830001</v>
      </c>
      <c r="N12" s="56">
        <f>-N11*N6</f>
        <v>-24653.744293843454</v>
      </c>
    </row>
    <row r="13" spans="1:14">
      <c r="B13" s="7" t="s">
        <v>292</v>
      </c>
      <c r="F13" s="14">
        <f>F11+F12</f>
        <v>9635</v>
      </c>
      <c r="G13" s="14">
        <f t="shared" ref="G13:N13" si="4">G11+G12</f>
        <v>9776</v>
      </c>
      <c r="H13" s="14">
        <f t="shared" si="4"/>
        <v>9196</v>
      </c>
      <c r="I13" s="14">
        <f t="shared" si="4"/>
        <v>9155.9150084203393</v>
      </c>
      <c r="J13" s="14">
        <f t="shared" si="4"/>
        <v>8756.8544241891213</v>
      </c>
      <c r="K13" s="14">
        <f t="shared" si="4"/>
        <v>8746.1922438770889</v>
      </c>
      <c r="L13" s="14">
        <f t="shared" si="4"/>
        <v>9206.5535581711592</v>
      </c>
      <c r="M13" s="14">
        <f t="shared" si="4"/>
        <v>9759.7104676698109</v>
      </c>
      <c r="N13" s="57">
        <f t="shared" si="4"/>
        <v>9118.5081634763483</v>
      </c>
    </row>
    <row r="14" spans="1:14">
      <c r="F14" s="8"/>
      <c r="G14" s="8"/>
      <c r="H14" s="8"/>
      <c r="I14" s="8"/>
      <c r="J14" s="8"/>
      <c r="K14" s="8"/>
      <c r="L14" s="8"/>
      <c r="M14" s="8"/>
      <c r="N14" s="56"/>
    </row>
    <row r="15" spans="1:14">
      <c r="B15" s="7" t="s">
        <v>290</v>
      </c>
      <c r="F15" s="8">
        <f>-SUM(Forecast!F7,Forecast!F8,Forecast!F10,Forecast!F11)</f>
        <v>9668</v>
      </c>
      <c r="G15" s="8">
        <f>-SUM(Forecast!G7,Forecast!G8,Forecast!G10,Forecast!G11)</f>
        <v>14653</v>
      </c>
      <c r="H15" s="8">
        <f>-SUM(Forecast!H7,Forecast!H8,Forecast!H10,Forecast!H11)</f>
        <v>7503</v>
      </c>
      <c r="I15" s="8">
        <f>-SUM(Forecast!I7,Forecast!I8,Forecast!I10,Forecast!I11)</f>
        <v>6157.98</v>
      </c>
      <c r="J15" s="8">
        <f>-SUM(Forecast!J7,Forecast!J8,Forecast!J10,Forecast!J11)</f>
        <v>5749.8672000000006</v>
      </c>
      <c r="K15" s="8">
        <f>-SUM(Forecast!K7,Forecast!K8,Forecast!K10,Forecast!K11)</f>
        <v>5456.9254799999999</v>
      </c>
      <c r="L15" s="8">
        <f>-SUM(Forecast!L7,Forecast!L8,Forecast!L10,Forecast!L11)</f>
        <v>5159.5203948000008</v>
      </c>
      <c r="M15" s="8">
        <f>-SUM(Forecast!M7,Forecast!M8,Forecast!M10,Forecast!M11)</f>
        <v>4861.3357612919999</v>
      </c>
      <c r="N15" s="56">
        <f>N11*N7</f>
        <v>6079.0054423175643</v>
      </c>
    </row>
    <row r="16" spans="1:14">
      <c r="B16" s="7" t="s">
        <v>296</v>
      </c>
      <c r="F16" s="14">
        <f>F13-F15</f>
        <v>-33</v>
      </c>
      <c r="G16" s="14">
        <f t="shared" ref="G16:N16" si="5">G13-G15</f>
        <v>-4877</v>
      </c>
      <c r="H16" s="14">
        <f t="shared" si="5"/>
        <v>1693</v>
      </c>
      <c r="I16" s="14">
        <f t="shared" si="5"/>
        <v>2997.9350084203397</v>
      </c>
      <c r="J16" s="14">
        <f t="shared" si="5"/>
        <v>3006.9872241891208</v>
      </c>
      <c r="K16" s="14">
        <f t="shared" si="5"/>
        <v>3289.266763877089</v>
      </c>
      <c r="L16" s="14">
        <f t="shared" si="5"/>
        <v>4047.0331633711585</v>
      </c>
      <c r="M16" s="14">
        <f t="shared" si="5"/>
        <v>4898.374706377811</v>
      </c>
      <c r="N16" s="57">
        <f t="shared" si="5"/>
        <v>3039.502721158784</v>
      </c>
    </row>
    <row r="17" spans="2:14">
      <c r="F17" s="8"/>
      <c r="G17" s="8"/>
      <c r="H17" s="8"/>
      <c r="I17" s="8"/>
      <c r="J17" s="8"/>
      <c r="K17" s="8"/>
      <c r="L17" s="8"/>
      <c r="M17" s="8"/>
      <c r="N17" s="56"/>
    </row>
    <row r="18" spans="2:14">
      <c r="B18" s="7" t="s">
        <v>248</v>
      </c>
      <c r="F18" s="8">
        <f>Forecast!F9</f>
        <v>-418</v>
      </c>
      <c r="G18" s="8">
        <f>Forecast!G9</f>
        <v>-392</v>
      </c>
      <c r="H18" s="8">
        <f>Forecast!H9</f>
        <v>-794</v>
      </c>
      <c r="I18" s="8">
        <f>Forecast!I9</f>
        <v>-797.96999999999991</v>
      </c>
      <c r="J18" s="8">
        <f>Forecast!J9</f>
        <v>-801.95984999999985</v>
      </c>
      <c r="K18" s="8">
        <f>Forecast!K9</f>
        <v>-805.96964924999975</v>
      </c>
      <c r="L18" s="8">
        <f>Forecast!L9</f>
        <v>-809.99949749624966</v>
      </c>
      <c r="M18" s="8">
        <f>Forecast!M9</f>
        <v>-814.04949498373082</v>
      </c>
      <c r="N18" s="56">
        <f>M18*(1+N9)</f>
        <v>-818.1197424586494</v>
      </c>
    </row>
    <row r="19" spans="2:14">
      <c r="B19" s="7" t="s">
        <v>127</v>
      </c>
      <c r="F19" s="14">
        <f>F16-F18</f>
        <v>385</v>
      </c>
      <c r="G19" s="14">
        <f t="shared" ref="G19:N19" si="6">G16-G18</f>
        <v>-4485</v>
      </c>
      <c r="H19" s="14">
        <f t="shared" si="6"/>
        <v>2487</v>
      </c>
      <c r="I19" s="14">
        <f t="shared" si="6"/>
        <v>3795.9050084203395</v>
      </c>
      <c r="J19" s="14">
        <f t="shared" si="6"/>
        <v>3808.9470741891205</v>
      </c>
      <c r="K19" s="14">
        <f t="shared" si="6"/>
        <v>4095.2364131270888</v>
      </c>
      <c r="L19" s="14">
        <f t="shared" si="6"/>
        <v>4857.0326608674077</v>
      </c>
      <c r="M19" s="14">
        <f t="shared" si="6"/>
        <v>5712.4242013615421</v>
      </c>
      <c r="N19" s="57">
        <f t="shared" si="6"/>
        <v>3857.6224636174334</v>
      </c>
    </row>
    <row r="20" spans="2:14">
      <c r="F20" s="8"/>
      <c r="G20" s="8"/>
      <c r="H20" s="8"/>
      <c r="I20" s="8"/>
      <c r="J20" s="8"/>
      <c r="K20" s="8"/>
      <c r="L20" s="8"/>
      <c r="M20" s="8"/>
      <c r="N20" s="56"/>
    </row>
    <row r="21" spans="2:14">
      <c r="B21" s="7" t="s">
        <v>279</v>
      </c>
      <c r="F21" s="58">
        <v>0.224</v>
      </c>
      <c r="G21" s="58">
        <v>4.7E-2</v>
      </c>
      <c r="H21" s="58">
        <v>0.48199999999999998</v>
      </c>
      <c r="I21" s="58">
        <f>Assumptions!C19</f>
        <v>0.24</v>
      </c>
      <c r="J21" s="58">
        <f>Assumptions!D19</f>
        <v>0.24</v>
      </c>
      <c r="K21" s="58">
        <f>Assumptions!E19</f>
        <v>0.24</v>
      </c>
      <c r="L21" s="58">
        <f>Assumptions!F19</f>
        <v>0.24</v>
      </c>
      <c r="M21" s="58">
        <f>Assumptions!G19</f>
        <v>0.24</v>
      </c>
      <c r="N21" s="59">
        <v>0.24</v>
      </c>
    </row>
    <row r="22" spans="2:14">
      <c r="B22" s="7" t="s">
        <v>293</v>
      </c>
      <c r="F22" s="14">
        <f>-Forecast!F21</f>
        <v>-361</v>
      </c>
      <c r="G22" s="14">
        <f>-Forecast!G21</f>
        <v>-305</v>
      </c>
      <c r="H22" s="14">
        <f>-Forecast!H21</f>
        <v>-119</v>
      </c>
      <c r="I22" s="14">
        <f>-Forecast!I21</f>
        <v>323.7244020208804</v>
      </c>
      <c r="J22" s="14">
        <f>-Forecast!J21</f>
        <v>335.34870313872244</v>
      </c>
      <c r="K22" s="14">
        <f>-Forecast!K21</f>
        <v>414.79735195494612</v>
      </c>
      <c r="L22" s="14">
        <f>-Forecast!L21</f>
        <v>604.17693906923785</v>
      </c>
      <c r="M22" s="14">
        <f>-Forecast!M21</f>
        <v>818.50879641359143</v>
      </c>
      <c r="N22" s="60">
        <f>N19*N21</f>
        <v>925.82939126818394</v>
      </c>
    </row>
    <row r="25" spans="2:14">
      <c r="B25" s="61"/>
      <c r="C25" s="61"/>
      <c r="D25" s="61"/>
      <c r="E25" s="61"/>
      <c r="F25" s="61"/>
      <c r="G25" s="61"/>
      <c r="H25" s="61"/>
      <c r="I25" s="61"/>
      <c r="J25" s="61"/>
      <c r="K25" s="61"/>
      <c r="L25" s="61"/>
      <c r="M25" s="61"/>
      <c r="N25" s="61"/>
    </row>
    <row r="27" spans="2:14" ht="23">
      <c r="B27" s="196" t="s">
        <v>294</v>
      </c>
      <c r="C27" s="195"/>
      <c r="D27" s="195"/>
      <c r="E27" s="195"/>
      <c r="F27" s="195"/>
      <c r="G27" s="195"/>
      <c r="H27" s="195"/>
      <c r="I27" s="195"/>
      <c r="J27" s="195"/>
      <c r="K27" s="195"/>
      <c r="L27" s="195"/>
      <c r="M27" s="195"/>
      <c r="N27" s="195"/>
    </row>
    <row r="30" spans="2:14" ht="15" thickBot="1">
      <c r="F30" s="50" t="s">
        <v>280</v>
      </c>
      <c r="G30" s="50" t="s">
        <v>280</v>
      </c>
      <c r="H30" s="50" t="s">
        <v>281</v>
      </c>
      <c r="I30" s="51" t="s">
        <v>282</v>
      </c>
      <c r="J30" s="51" t="s">
        <v>283</v>
      </c>
      <c r="K30" s="51" t="s">
        <v>284</v>
      </c>
      <c r="L30" s="51" t="s">
        <v>285</v>
      </c>
      <c r="M30" s="51" t="s">
        <v>286</v>
      </c>
      <c r="N30" s="52" t="s">
        <v>287</v>
      </c>
    </row>
    <row r="31" spans="2:14">
      <c r="B31" s="10" t="s">
        <v>295</v>
      </c>
      <c r="N31" s="53"/>
    </row>
    <row r="32" spans="2:14">
      <c r="B32" s="7" t="s">
        <v>296</v>
      </c>
      <c r="F32" s="8">
        <f>F16</f>
        <v>-33</v>
      </c>
      <c r="G32" s="8">
        <f t="shared" ref="G32:M32" si="7">G16</f>
        <v>-4877</v>
      </c>
      <c r="H32" s="8">
        <f t="shared" si="7"/>
        <v>1693</v>
      </c>
      <c r="I32" s="8">
        <f t="shared" si="7"/>
        <v>2997.9350084203397</v>
      </c>
      <c r="J32" s="8">
        <f t="shared" si="7"/>
        <v>3006.9872241891208</v>
      </c>
      <c r="K32" s="8">
        <f t="shared" si="7"/>
        <v>3289.266763877089</v>
      </c>
      <c r="L32" s="8">
        <f t="shared" si="7"/>
        <v>4047.0331633711585</v>
      </c>
      <c r="M32" s="8">
        <f t="shared" si="7"/>
        <v>4898.374706377811</v>
      </c>
      <c r="N32" s="56">
        <f>N16</f>
        <v>3039.502721158784</v>
      </c>
    </row>
    <row r="33" spans="2:14">
      <c r="B33" s="7" t="s">
        <v>279</v>
      </c>
      <c r="F33" s="58">
        <f>F21</f>
        <v>0.224</v>
      </c>
      <c r="G33" s="58">
        <f t="shared" ref="G33:M33" si="8">G21</f>
        <v>4.7E-2</v>
      </c>
      <c r="H33" s="58">
        <f t="shared" si="8"/>
        <v>0.48199999999999998</v>
      </c>
      <c r="I33" s="58">
        <f t="shared" si="8"/>
        <v>0.24</v>
      </c>
      <c r="J33" s="58">
        <f t="shared" si="8"/>
        <v>0.24</v>
      </c>
      <c r="K33" s="58">
        <f t="shared" si="8"/>
        <v>0.24</v>
      </c>
      <c r="L33" s="58">
        <f t="shared" si="8"/>
        <v>0.24</v>
      </c>
      <c r="M33" s="58">
        <f t="shared" si="8"/>
        <v>0.24</v>
      </c>
      <c r="N33" s="62">
        <v>0.24</v>
      </c>
    </row>
    <row r="34" spans="2:14">
      <c r="B34" s="10" t="s">
        <v>297</v>
      </c>
      <c r="F34" s="9">
        <f>F32*(1-F33)</f>
        <v>-25.608000000000001</v>
      </c>
      <c r="G34" s="9">
        <f t="shared" ref="G34:M34" si="9">G32*(1-G21)</f>
        <v>-4647.7809999999999</v>
      </c>
      <c r="H34" s="9">
        <f t="shared" si="9"/>
        <v>876.97400000000005</v>
      </c>
      <c r="I34" s="9">
        <f t="shared" si="9"/>
        <v>2278.4306063994582</v>
      </c>
      <c r="J34" s="9">
        <f t="shared" si="9"/>
        <v>2285.3102903837316</v>
      </c>
      <c r="K34" s="9">
        <f t="shared" si="9"/>
        <v>2499.8427405465877</v>
      </c>
      <c r="L34" s="9">
        <f t="shared" si="9"/>
        <v>3075.7452041620804</v>
      </c>
      <c r="M34" s="9">
        <f t="shared" si="9"/>
        <v>3722.7647768471365</v>
      </c>
      <c r="N34" s="63">
        <f>N32*(1-N33)</f>
        <v>2310.022068080676</v>
      </c>
    </row>
    <row r="35" spans="2:14">
      <c r="B35" s="7" t="s">
        <v>233</v>
      </c>
      <c r="F35" s="8">
        <f t="shared" ref="F35:N35" si="10">-F18</f>
        <v>418</v>
      </c>
      <c r="G35" s="8">
        <f t="shared" si="10"/>
        <v>392</v>
      </c>
      <c r="H35" s="8">
        <f t="shared" si="10"/>
        <v>794</v>
      </c>
      <c r="I35" s="8">
        <f t="shared" si="10"/>
        <v>797.96999999999991</v>
      </c>
      <c r="J35" s="8">
        <f t="shared" si="10"/>
        <v>801.95984999999985</v>
      </c>
      <c r="K35" s="8">
        <f t="shared" si="10"/>
        <v>805.96964924999975</v>
      </c>
      <c r="L35" s="8">
        <f t="shared" si="10"/>
        <v>809.99949749624966</v>
      </c>
      <c r="M35" s="8">
        <f t="shared" si="10"/>
        <v>814.04949498373082</v>
      </c>
      <c r="N35" s="56">
        <f t="shared" si="10"/>
        <v>818.1197424586494</v>
      </c>
    </row>
    <row r="36" spans="2:14">
      <c r="B36" s="7" t="s">
        <v>298</v>
      </c>
      <c r="F36" s="8">
        <f>Forecast!F64</f>
        <v>-328</v>
      </c>
      <c r="G36" s="8">
        <f>Forecast!G64</f>
        <v>-263</v>
      </c>
      <c r="H36" s="8">
        <f>Forecast!H64</f>
        <v>-296</v>
      </c>
      <c r="I36" s="8">
        <f>Forecast!I64</f>
        <v>-290.08</v>
      </c>
      <c r="J36" s="8">
        <f>Forecast!J64</f>
        <v>-284.27839999999998</v>
      </c>
      <c r="K36" s="8">
        <f>Forecast!K64</f>
        <v>-278.59283199999999</v>
      </c>
      <c r="L36" s="8">
        <f>Forecast!L64</f>
        <v>-273.02097535999997</v>
      </c>
      <c r="M36" s="8">
        <f>Forecast!M64</f>
        <v>-267.56055585279995</v>
      </c>
      <c r="N36" s="56">
        <v>-260</v>
      </c>
    </row>
    <row r="37" spans="2:14">
      <c r="B37" s="7" t="s">
        <v>343</v>
      </c>
      <c r="F37" s="8">
        <f>Forecast!F87</f>
        <v>78</v>
      </c>
      <c r="G37" s="8">
        <f>Forecast!G87</f>
        <v>-33</v>
      </c>
      <c r="H37" s="8">
        <f>Forecast!H87</f>
        <v>-226</v>
      </c>
      <c r="I37" s="8">
        <f>Forecast!I87</f>
        <v>168.01189991804313</v>
      </c>
      <c r="J37" s="8">
        <f>Forecast!J87</f>
        <v>168.60628759042174</v>
      </c>
      <c r="K37" s="8">
        <f>Forecast!K87</f>
        <v>161.04274750416971</v>
      </c>
      <c r="L37" s="8">
        <f>Forecast!L87</f>
        <v>237.52834559703115</v>
      </c>
      <c r="M37" s="8">
        <f>Forecast!M87</f>
        <v>241.81706322436548</v>
      </c>
      <c r="N37" s="56">
        <v>260</v>
      </c>
    </row>
    <row r="38" spans="2:14" ht="15" thickBot="1">
      <c r="B38" s="10" t="s">
        <v>295</v>
      </c>
      <c r="F38" s="64">
        <f>SUM(F34:F37)</f>
        <v>142.392</v>
      </c>
      <c r="G38" s="64">
        <f t="shared" ref="G38:N38" si="11">SUM(G34:G37)</f>
        <v>-4551.7809999999999</v>
      </c>
      <c r="H38" s="64">
        <f t="shared" si="11"/>
        <v>1148.9740000000002</v>
      </c>
      <c r="I38" s="64">
        <f t="shared" si="11"/>
        <v>2954.3325063175012</v>
      </c>
      <c r="J38" s="64">
        <f t="shared" si="11"/>
        <v>2971.598027974153</v>
      </c>
      <c r="K38" s="64">
        <f t="shared" si="11"/>
        <v>3188.2623053007574</v>
      </c>
      <c r="L38" s="64">
        <f t="shared" si="11"/>
        <v>3850.252071895361</v>
      </c>
      <c r="M38" s="64">
        <f t="shared" si="11"/>
        <v>4511.0707792024332</v>
      </c>
      <c r="N38" s="65">
        <f t="shared" si="11"/>
        <v>3128.1418105393254</v>
      </c>
    </row>
    <row r="40" spans="2:14">
      <c r="B40" s="61"/>
      <c r="C40" s="61"/>
      <c r="D40" s="61"/>
      <c r="E40" s="61"/>
      <c r="F40" s="61"/>
      <c r="G40" s="61"/>
      <c r="H40" s="61"/>
      <c r="I40" s="61"/>
      <c r="J40" s="61"/>
      <c r="K40" s="61"/>
      <c r="L40" s="61"/>
      <c r="M40" s="61"/>
      <c r="N40" s="61"/>
    </row>
    <row r="42" spans="2:14" ht="23">
      <c r="B42" s="196" t="s">
        <v>299</v>
      </c>
      <c r="C42" s="195"/>
      <c r="D42" s="195"/>
      <c r="E42" s="195"/>
      <c r="F42" s="195"/>
      <c r="G42" s="195"/>
      <c r="H42" s="195"/>
      <c r="I42" s="195"/>
      <c r="J42" s="195"/>
      <c r="K42" s="195"/>
      <c r="L42" s="195"/>
      <c r="M42" s="195"/>
      <c r="N42" s="195"/>
    </row>
    <row r="44" spans="2:14" ht="15" thickBot="1">
      <c r="I44" s="51" t="s">
        <v>282</v>
      </c>
      <c r="J44" s="51" t="s">
        <v>283</v>
      </c>
      <c r="K44" s="51" t="s">
        <v>284</v>
      </c>
      <c r="L44" s="51" t="s">
        <v>285</v>
      </c>
      <c r="M44" s="51" t="s">
        <v>286</v>
      </c>
      <c r="N44" s="52" t="s">
        <v>287</v>
      </c>
    </row>
    <row r="45" spans="2:14">
      <c r="N45" s="53"/>
    </row>
    <row r="46" spans="2:14">
      <c r="B46" s="7" t="s">
        <v>295</v>
      </c>
      <c r="I46" s="66">
        <f>I38</f>
        <v>2954.3325063175012</v>
      </c>
      <c r="J46" s="67">
        <f t="shared" ref="J46:N46" si="12">J38</f>
        <v>2971.598027974153</v>
      </c>
      <c r="K46" s="67">
        <f t="shared" si="12"/>
        <v>3188.2623053007574</v>
      </c>
      <c r="L46" s="67">
        <f t="shared" si="12"/>
        <v>3850.252071895361</v>
      </c>
      <c r="M46" s="67">
        <f t="shared" si="12"/>
        <v>4511.0707792024332</v>
      </c>
      <c r="N46" s="68">
        <f t="shared" si="12"/>
        <v>3128.1418105393254</v>
      </c>
    </row>
    <row r="47" spans="2:14">
      <c r="B47" s="7" t="s">
        <v>127</v>
      </c>
      <c r="I47" s="69"/>
      <c r="J47" s="61"/>
      <c r="K47" s="61"/>
      <c r="L47" s="61"/>
      <c r="M47" s="61"/>
      <c r="N47" s="70">
        <f>N19</f>
        <v>3857.6224636174334</v>
      </c>
    </row>
    <row r="48" spans="2:14">
      <c r="N48" s="53"/>
    </row>
    <row r="49" spans="2:15">
      <c r="N49" s="53"/>
    </row>
    <row r="50" spans="2:15">
      <c r="B50" s="10" t="s">
        <v>300</v>
      </c>
      <c r="N50" s="53"/>
    </row>
    <row r="51" spans="2:15">
      <c r="B51" s="7" t="s">
        <v>301</v>
      </c>
      <c r="I51" s="44">
        <f>I46</f>
        <v>2954.3325063175012</v>
      </c>
      <c r="J51" s="44">
        <f t="shared" ref="J51:N51" si="13">J46</f>
        <v>2971.598027974153</v>
      </c>
      <c r="K51" s="44">
        <f t="shared" si="13"/>
        <v>3188.2623053007574</v>
      </c>
      <c r="L51" s="44">
        <f t="shared" si="13"/>
        <v>3850.252071895361</v>
      </c>
      <c r="M51" s="44">
        <f t="shared" si="13"/>
        <v>4511.0707792024332</v>
      </c>
      <c r="N51" s="71">
        <f t="shared" si="13"/>
        <v>3128.1418105393254</v>
      </c>
    </row>
    <row r="52" spans="2:15">
      <c r="B52" s="7" t="s">
        <v>302</v>
      </c>
      <c r="I52" s="12">
        <v>0</v>
      </c>
      <c r="J52" s="12">
        <v>0</v>
      </c>
      <c r="K52" s="12">
        <v>0</v>
      </c>
      <c r="L52" s="12">
        <v>0</v>
      </c>
      <c r="M52" s="12">
        <v>0</v>
      </c>
      <c r="N52" s="71">
        <f>(N51*(1+D60))/(D61-D60)</f>
        <v>70114.387456129669</v>
      </c>
      <c r="O52" s="72"/>
    </row>
    <row r="53" spans="2:15">
      <c r="B53" s="73" t="s">
        <v>303</v>
      </c>
      <c r="C53" s="74"/>
      <c r="D53" s="74"/>
      <c r="E53" s="74"/>
      <c r="F53" s="74"/>
      <c r="G53" s="74"/>
      <c r="H53" s="74"/>
      <c r="I53" s="75">
        <f>SUM(I51:I52)</f>
        <v>2954.3325063175012</v>
      </c>
      <c r="J53" s="75">
        <f t="shared" ref="J53:N53" si="14">SUM(J51:J52)</f>
        <v>2971.598027974153</v>
      </c>
      <c r="K53" s="75">
        <f t="shared" si="14"/>
        <v>3188.2623053007574</v>
      </c>
      <c r="L53" s="75">
        <f t="shared" si="14"/>
        <v>3850.252071895361</v>
      </c>
      <c r="M53" s="75">
        <f t="shared" si="14"/>
        <v>4511.0707792024332</v>
      </c>
      <c r="N53" s="76">
        <f t="shared" si="14"/>
        <v>73242.529266668993</v>
      </c>
    </row>
    <row r="54" spans="2:15">
      <c r="B54" s="77"/>
      <c r="C54" s="49"/>
      <c r="D54" s="49"/>
      <c r="E54" s="49"/>
      <c r="F54" s="49"/>
      <c r="G54" s="49"/>
      <c r="H54" s="49"/>
      <c r="I54" s="78"/>
      <c r="J54" s="78"/>
      <c r="K54" s="78"/>
      <c r="L54" s="78"/>
      <c r="M54" s="78"/>
      <c r="N54" s="78"/>
    </row>
    <row r="55" spans="2:15">
      <c r="B55" s="79"/>
      <c r="C55" s="61"/>
      <c r="D55" s="61"/>
      <c r="E55" s="61"/>
      <c r="F55" s="61"/>
      <c r="G55" s="61"/>
      <c r="H55" s="61"/>
      <c r="I55" s="80"/>
      <c r="J55" s="80"/>
      <c r="K55" s="80"/>
      <c r="L55" s="80"/>
      <c r="M55" s="80"/>
      <c r="N55" s="80"/>
    </row>
    <row r="57" spans="2:15" ht="16">
      <c r="B57" s="32" t="s">
        <v>304</v>
      </c>
      <c r="C57" s="32"/>
      <c r="D57" s="32"/>
      <c r="E57" s="32"/>
      <c r="F57" s="32"/>
      <c r="G57" s="32" t="s">
        <v>305</v>
      </c>
      <c r="H57" s="32"/>
      <c r="I57" s="10"/>
      <c r="J57" s="10"/>
      <c r="K57" s="81" t="s">
        <v>306</v>
      </c>
    </row>
    <row r="58" spans="2:15" ht="16">
      <c r="B58" s="82" t="s">
        <v>307</v>
      </c>
      <c r="C58" s="35"/>
      <c r="D58" s="83">
        <v>2026</v>
      </c>
      <c r="G58" s="82" t="s">
        <v>308</v>
      </c>
      <c r="H58" s="35"/>
      <c r="I58" s="84">
        <f>NPV(D61,I51,J51,K51,L51,M51)</f>
        <v>13873.454661048754</v>
      </c>
      <c r="K58" s="85" t="s">
        <v>309</v>
      </c>
      <c r="L58" s="13"/>
      <c r="M58" s="13"/>
      <c r="N58" s="86">
        <f>I74</f>
        <v>52112.267083128114</v>
      </c>
    </row>
    <row r="59" spans="2:15" ht="16">
      <c r="B59" s="87" t="s">
        <v>310</v>
      </c>
      <c r="C59" s="37"/>
      <c r="D59" s="88"/>
      <c r="G59" s="87" t="s">
        <v>311</v>
      </c>
      <c r="H59" s="37"/>
      <c r="I59" s="89">
        <f>NPV(D61,0,0,0,0,N52)</f>
        <v>48622.812422079362</v>
      </c>
      <c r="K59" s="90" t="s">
        <v>312</v>
      </c>
      <c r="L59" s="49"/>
      <c r="M59" s="49"/>
      <c r="N59" s="110">
        <f>D79</f>
        <v>1102</v>
      </c>
    </row>
    <row r="60" spans="2:15" ht="17" thickBot="1">
      <c r="B60" s="87" t="s">
        <v>313</v>
      </c>
      <c r="C60" s="37"/>
      <c r="D60" s="91">
        <v>0.03</v>
      </c>
      <c r="G60" s="92" t="s">
        <v>314</v>
      </c>
      <c r="H60" s="93"/>
      <c r="I60" s="94">
        <f>I58+I59</f>
        <v>62496.267083128114</v>
      </c>
      <c r="K60" s="197" t="s">
        <v>315</v>
      </c>
      <c r="L60" s="198"/>
      <c r="M60" s="198"/>
      <c r="N60" s="199">
        <f>N58/N59</f>
        <v>47.288808605379415</v>
      </c>
    </row>
    <row r="61" spans="2:15" ht="16">
      <c r="B61" s="92" t="s">
        <v>316</v>
      </c>
      <c r="C61" s="93"/>
      <c r="D61" s="95">
        <f>(D81*D68)+(D87*D74)</f>
        <v>7.5953279801117726E-2</v>
      </c>
    </row>
    <row r="63" spans="2:15" ht="16">
      <c r="E63" s="15"/>
      <c r="F63" s="15"/>
      <c r="K63" s="12"/>
    </row>
    <row r="64" spans="2:15" ht="16">
      <c r="B64" s="32" t="s">
        <v>317</v>
      </c>
      <c r="C64" s="15"/>
      <c r="D64" s="15"/>
      <c r="G64" s="32" t="s">
        <v>318</v>
      </c>
      <c r="H64" s="15"/>
      <c r="N64" s="72"/>
    </row>
    <row r="65" spans="2:14" ht="16">
      <c r="B65" s="82" t="s">
        <v>319</v>
      </c>
      <c r="C65" s="35"/>
      <c r="D65" s="96">
        <v>4.7399999999999998E-2</v>
      </c>
      <c r="G65" s="82" t="s">
        <v>320</v>
      </c>
      <c r="H65" s="35"/>
      <c r="I65" s="84">
        <f>Forecast!H42</f>
        <v>433</v>
      </c>
      <c r="K65" s="11"/>
    </row>
    <row r="66" spans="2:14" ht="16">
      <c r="B66" s="87" t="s">
        <v>321</v>
      </c>
      <c r="C66" s="37"/>
      <c r="D66" s="97">
        <v>1.45</v>
      </c>
      <c r="G66" s="87" t="s">
        <v>63</v>
      </c>
      <c r="H66" s="37"/>
      <c r="I66" s="98">
        <f>Forecast!H45</f>
        <v>13225</v>
      </c>
    </row>
    <row r="67" spans="2:14" ht="16">
      <c r="B67" s="87" t="s">
        <v>322</v>
      </c>
      <c r="C67" s="37"/>
      <c r="D67" s="99">
        <v>4.9299999999999997E-2</v>
      </c>
      <c r="G67" s="100" t="s">
        <v>323</v>
      </c>
      <c r="H67" s="101"/>
      <c r="I67" s="89">
        <f>Forecast!H31</f>
        <v>3274</v>
      </c>
      <c r="J67" s="44"/>
    </row>
    <row r="68" spans="2:14" ht="16">
      <c r="B68" s="92" t="s">
        <v>324</v>
      </c>
      <c r="C68" s="93"/>
      <c r="D68" s="99">
        <f>D65*D66+D67</f>
        <v>0.11803</v>
      </c>
      <c r="G68" s="92" t="s">
        <v>132</v>
      </c>
      <c r="H68" s="93"/>
      <c r="I68" s="89">
        <f>(I65+I66)-I67</f>
        <v>10384</v>
      </c>
    </row>
    <row r="70" spans="2:14">
      <c r="E70" s="10"/>
      <c r="F70" s="10"/>
    </row>
    <row r="71" spans="2:14" ht="16">
      <c r="B71" s="32" t="s">
        <v>325</v>
      </c>
      <c r="C71" s="10"/>
      <c r="D71" s="10"/>
      <c r="G71" s="81" t="s">
        <v>326</v>
      </c>
      <c r="H71" s="10"/>
    </row>
    <row r="72" spans="2:14" ht="16">
      <c r="B72" s="82" t="s">
        <v>327</v>
      </c>
      <c r="C72" s="35"/>
      <c r="D72" s="96">
        <f>Forecast!H99/(Forecast!I45+Forecast!I42)</f>
        <v>6.4052287581699341E-2</v>
      </c>
      <c r="G72" s="85" t="s">
        <v>314</v>
      </c>
      <c r="H72" s="35"/>
      <c r="I72" s="102">
        <f>I60</f>
        <v>62496.267083128114</v>
      </c>
    </row>
    <row r="73" spans="2:14" ht="16">
      <c r="B73" s="87" t="s">
        <v>279</v>
      </c>
      <c r="C73" s="37"/>
      <c r="D73" s="103">
        <f>I21</f>
        <v>0.24</v>
      </c>
      <c r="G73" s="90" t="s">
        <v>328</v>
      </c>
      <c r="H73" s="37"/>
      <c r="I73" s="89">
        <f>-I68</f>
        <v>-10384</v>
      </c>
    </row>
    <row r="74" spans="2:14" ht="16">
      <c r="B74" s="92" t="s">
        <v>329</v>
      </c>
      <c r="C74" s="93"/>
      <c r="D74" s="95">
        <f>D72*(1-D73)</f>
        <v>4.8679738562091499E-2</v>
      </c>
      <c r="G74" s="104" t="s">
        <v>309</v>
      </c>
      <c r="H74" s="93"/>
      <c r="I74" s="94">
        <f>SUM(I72:I73)</f>
        <v>52112.267083128114</v>
      </c>
    </row>
    <row r="77" spans="2:14" ht="16">
      <c r="B77" s="105" t="s">
        <v>330</v>
      </c>
      <c r="G77" s="32" t="s">
        <v>331</v>
      </c>
    </row>
    <row r="78" spans="2:14" ht="16">
      <c r="B78" s="85" t="s">
        <v>344</v>
      </c>
      <c r="C78" s="35"/>
      <c r="D78" s="83">
        <v>8.07</v>
      </c>
      <c r="G78" s="106"/>
      <c r="H78" s="74">
        <v>2026</v>
      </c>
      <c r="I78" s="107" t="s">
        <v>332</v>
      </c>
      <c r="J78" s="107" t="s">
        <v>333</v>
      </c>
      <c r="K78" s="107" t="s">
        <v>334</v>
      </c>
      <c r="L78" s="108"/>
    </row>
    <row r="79" spans="2:14" ht="16">
      <c r="B79" s="90" t="s">
        <v>312</v>
      </c>
      <c r="C79" s="37"/>
      <c r="D79" s="109">
        <f>Historicals!G46</f>
        <v>1102</v>
      </c>
      <c r="G79" s="119" t="s">
        <v>345</v>
      </c>
      <c r="H79" s="49"/>
      <c r="I79" s="15">
        <v>347</v>
      </c>
      <c r="J79" s="49">
        <v>2026</v>
      </c>
      <c r="K79" s="49">
        <f t="shared" ref="K79:K103" si="15">J79-$H$78</f>
        <v>0</v>
      </c>
      <c r="L79" s="110">
        <f>I79*K79</f>
        <v>0</v>
      </c>
      <c r="N79"/>
    </row>
    <row r="80" spans="2:14" ht="16">
      <c r="B80" s="90" t="s">
        <v>335</v>
      </c>
      <c r="C80" s="37"/>
      <c r="D80" s="98">
        <f>D78*D79</f>
        <v>8893.14</v>
      </c>
      <c r="G80" s="120" t="s">
        <v>346</v>
      </c>
      <c r="H80" s="49"/>
      <c r="I80" s="15">
        <v>85</v>
      </c>
      <c r="J80" s="49">
        <v>2026</v>
      </c>
      <c r="K80" s="49">
        <f t="shared" si="15"/>
        <v>0</v>
      </c>
      <c r="L80" s="110">
        <f t="shared" ref="L80:L103" si="16">I80*K80</f>
        <v>0</v>
      </c>
      <c r="N80"/>
    </row>
    <row r="81" spans="2:14" ht="16">
      <c r="B81" s="111" t="s">
        <v>336</v>
      </c>
      <c r="C81" s="37"/>
      <c r="D81" s="112">
        <f>D80/(D80+D86)</f>
        <v>0.39327236370183122</v>
      </c>
      <c r="G81" s="120" t="s">
        <v>347</v>
      </c>
      <c r="H81" s="49"/>
      <c r="I81" s="15">
        <v>573</v>
      </c>
      <c r="J81" s="49">
        <v>2027</v>
      </c>
      <c r="K81" s="49">
        <f t="shared" si="15"/>
        <v>1</v>
      </c>
      <c r="L81" s="110">
        <f t="shared" si="16"/>
        <v>573</v>
      </c>
      <c r="N81"/>
    </row>
    <row r="82" spans="2:14" ht="16">
      <c r="B82" s="90" t="s">
        <v>337</v>
      </c>
      <c r="C82" s="37"/>
      <c r="D82" s="98">
        <f>Forecast!H99</f>
        <v>882</v>
      </c>
      <c r="G82" s="120" t="s">
        <v>348</v>
      </c>
      <c r="H82" s="49"/>
      <c r="I82" s="15">
        <v>487</v>
      </c>
      <c r="J82" s="49">
        <v>2028</v>
      </c>
      <c r="K82" s="49">
        <f t="shared" si="15"/>
        <v>2</v>
      </c>
      <c r="L82" s="110">
        <f t="shared" si="16"/>
        <v>974</v>
      </c>
      <c r="N82"/>
    </row>
    <row r="83" spans="2:14" ht="16">
      <c r="B83" s="90" t="s">
        <v>338</v>
      </c>
      <c r="C83" s="37"/>
      <c r="D83" s="113">
        <f>D72</f>
        <v>6.4052287581699341E-2</v>
      </c>
      <c r="G83" s="120" t="s">
        <v>349</v>
      </c>
      <c r="H83" s="49"/>
      <c r="I83" s="15">
        <v>489</v>
      </c>
      <c r="J83" s="49">
        <v>2028</v>
      </c>
      <c r="K83" s="49">
        <f t="shared" si="15"/>
        <v>2</v>
      </c>
      <c r="L83" s="110">
        <f t="shared" si="16"/>
        <v>978</v>
      </c>
      <c r="N83"/>
    </row>
    <row r="84" spans="2:14" ht="16">
      <c r="B84" s="90" t="s">
        <v>339</v>
      </c>
      <c r="C84" s="37"/>
      <c r="D84" s="98">
        <f>I65+I66</f>
        <v>13658</v>
      </c>
      <c r="G84" s="120" t="s">
        <v>350</v>
      </c>
      <c r="H84" s="49"/>
      <c r="I84" s="15">
        <v>489</v>
      </c>
      <c r="J84" s="49">
        <v>2029</v>
      </c>
      <c r="K84" s="49">
        <f t="shared" si="15"/>
        <v>3</v>
      </c>
      <c r="L84" s="110">
        <f t="shared" si="16"/>
        <v>1467</v>
      </c>
      <c r="N84"/>
    </row>
    <row r="85" spans="2:14" ht="16">
      <c r="B85" s="90" t="s">
        <v>340</v>
      </c>
      <c r="C85" s="37"/>
      <c r="D85" s="98">
        <f>L105/D84</f>
        <v>13.003880509591449</v>
      </c>
      <c r="G85" s="120" t="s">
        <v>351</v>
      </c>
      <c r="H85" s="49"/>
      <c r="I85" s="15">
        <v>915</v>
      </c>
      <c r="J85" s="49">
        <v>2030</v>
      </c>
      <c r="K85" s="49">
        <f t="shared" si="15"/>
        <v>4</v>
      </c>
      <c r="L85" s="110">
        <f t="shared" si="16"/>
        <v>3660</v>
      </c>
      <c r="N85"/>
    </row>
    <row r="86" spans="2:14" ht="16">
      <c r="B86" s="90" t="s">
        <v>341</v>
      </c>
      <c r="C86" s="37"/>
      <c r="D86" s="98">
        <f>-PV(D83,D85,D82,D84)</f>
        <v>13720.043179946366</v>
      </c>
      <c r="G86" s="120" t="s">
        <v>352</v>
      </c>
      <c r="H86" s="49"/>
      <c r="I86" s="15">
        <v>1221</v>
      </c>
      <c r="J86" s="49">
        <v>2031</v>
      </c>
      <c r="K86" s="49">
        <f t="shared" si="15"/>
        <v>5</v>
      </c>
      <c r="L86" s="110">
        <f t="shared" si="16"/>
        <v>6105</v>
      </c>
      <c r="N86"/>
    </row>
    <row r="87" spans="2:14" ht="16">
      <c r="B87" s="114" t="s">
        <v>336</v>
      </c>
      <c r="C87" s="93"/>
      <c r="D87" s="115">
        <f>D86/(D80+D86)</f>
        <v>0.60672763629816873</v>
      </c>
      <c r="G87" s="120" t="s">
        <v>353</v>
      </c>
      <c r="H87" s="49"/>
      <c r="I87" s="15">
        <v>921</v>
      </c>
      <c r="J87" s="49">
        <v>2032</v>
      </c>
      <c r="K87" s="49">
        <f t="shared" si="15"/>
        <v>6</v>
      </c>
      <c r="L87" s="110">
        <f t="shared" si="16"/>
        <v>5526</v>
      </c>
      <c r="N87"/>
    </row>
    <row r="88" spans="2:14" ht="16">
      <c r="G88" s="120" t="s">
        <v>354</v>
      </c>
      <c r="H88" s="49"/>
      <c r="I88" s="15">
        <v>417</v>
      </c>
      <c r="J88" s="49">
        <v>2033</v>
      </c>
      <c r="K88" s="49">
        <f t="shared" si="15"/>
        <v>7</v>
      </c>
      <c r="L88" s="110">
        <f t="shared" si="16"/>
        <v>2919</v>
      </c>
      <c r="N88"/>
    </row>
    <row r="89" spans="2:14" ht="16">
      <c r="G89" s="120" t="s">
        <v>355</v>
      </c>
      <c r="H89" s="49"/>
      <c r="I89" s="15">
        <v>76</v>
      </c>
      <c r="J89" s="49">
        <v>2034</v>
      </c>
      <c r="K89" s="49">
        <f t="shared" si="15"/>
        <v>8</v>
      </c>
      <c r="L89" s="110">
        <f t="shared" si="16"/>
        <v>608</v>
      </c>
      <c r="N89"/>
    </row>
    <row r="90" spans="2:14" ht="16">
      <c r="G90" s="120" t="s">
        <v>356</v>
      </c>
      <c r="H90" s="49"/>
      <c r="I90" s="15">
        <v>1119</v>
      </c>
      <c r="J90" s="49">
        <v>2036</v>
      </c>
      <c r="K90" s="49">
        <f t="shared" si="15"/>
        <v>10</v>
      </c>
      <c r="L90" s="110">
        <f t="shared" si="16"/>
        <v>11190</v>
      </c>
      <c r="N90"/>
    </row>
    <row r="91" spans="2:14" ht="16">
      <c r="G91" s="120" t="s">
        <v>357</v>
      </c>
      <c r="H91" s="49"/>
      <c r="I91" s="15">
        <v>75</v>
      </c>
      <c r="J91" s="49">
        <v>2037</v>
      </c>
      <c r="K91" s="49">
        <f t="shared" si="15"/>
        <v>11</v>
      </c>
      <c r="L91" s="110">
        <f t="shared" si="16"/>
        <v>825</v>
      </c>
      <c r="N91"/>
    </row>
    <row r="92" spans="2:14" ht="16">
      <c r="G92" s="120" t="s">
        <v>263</v>
      </c>
      <c r="H92" s="49"/>
      <c r="I92" s="15">
        <v>272</v>
      </c>
      <c r="J92" s="49">
        <v>2040</v>
      </c>
      <c r="K92" s="49">
        <f t="shared" si="15"/>
        <v>14</v>
      </c>
      <c r="L92" s="110">
        <f t="shared" si="16"/>
        <v>3808</v>
      </c>
      <c r="N92"/>
    </row>
    <row r="93" spans="2:14" ht="16">
      <c r="G93" s="120" t="s">
        <v>358</v>
      </c>
      <c r="H93" s="49"/>
      <c r="I93" s="15">
        <v>34</v>
      </c>
      <c r="J93" s="49">
        <v>2042</v>
      </c>
      <c r="K93" s="49">
        <f t="shared" si="15"/>
        <v>16</v>
      </c>
      <c r="L93" s="110">
        <f t="shared" si="16"/>
        <v>544</v>
      </c>
      <c r="N93"/>
    </row>
    <row r="94" spans="2:14" ht="16">
      <c r="G94" s="120" t="s">
        <v>265</v>
      </c>
      <c r="H94" s="49"/>
      <c r="I94" s="15">
        <v>400</v>
      </c>
      <c r="J94" s="49">
        <v>2042</v>
      </c>
      <c r="K94" s="49">
        <f t="shared" si="15"/>
        <v>16</v>
      </c>
      <c r="L94" s="110">
        <f t="shared" si="16"/>
        <v>6400</v>
      </c>
      <c r="N94"/>
    </row>
    <row r="95" spans="2:14" ht="16">
      <c r="G95" s="120" t="s">
        <v>359</v>
      </c>
      <c r="H95" s="49"/>
      <c r="I95" s="15">
        <v>1079</v>
      </c>
      <c r="J95" s="49">
        <v>2043</v>
      </c>
      <c r="K95" s="49">
        <f t="shared" si="15"/>
        <v>17</v>
      </c>
      <c r="L95" s="110">
        <f t="shared" si="16"/>
        <v>18343</v>
      </c>
      <c r="N95"/>
    </row>
    <row r="96" spans="2:14" ht="16">
      <c r="G96" s="120" t="s">
        <v>360</v>
      </c>
      <c r="H96" s="49"/>
      <c r="I96" s="15">
        <v>14</v>
      </c>
      <c r="J96" s="49">
        <v>2043</v>
      </c>
      <c r="K96" s="49">
        <f t="shared" si="15"/>
        <v>17</v>
      </c>
      <c r="L96" s="110">
        <f t="shared" si="16"/>
        <v>238</v>
      </c>
      <c r="N96"/>
    </row>
    <row r="97" spans="4:14" ht="16">
      <c r="G97" s="120" t="s">
        <v>361</v>
      </c>
      <c r="H97" s="49"/>
      <c r="I97" s="15">
        <v>1103</v>
      </c>
      <c r="J97" s="49">
        <v>2043</v>
      </c>
      <c r="K97" s="49">
        <f t="shared" si="15"/>
        <v>17</v>
      </c>
      <c r="L97" s="110">
        <f t="shared" si="16"/>
        <v>18751</v>
      </c>
      <c r="N97"/>
    </row>
    <row r="98" spans="4:14" ht="16">
      <c r="G98" s="120" t="s">
        <v>362</v>
      </c>
      <c r="H98" s="49"/>
      <c r="I98" s="15">
        <v>275</v>
      </c>
      <c r="J98" s="49">
        <v>2044</v>
      </c>
      <c r="K98" s="49">
        <f t="shared" si="15"/>
        <v>18</v>
      </c>
      <c r="L98" s="110">
        <f t="shared" si="16"/>
        <v>4950</v>
      </c>
      <c r="N98"/>
    </row>
    <row r="99" spans="4:14" ht="16">
      <c r="G99" s="120" t="s">
        <v>270</v>
      </c>
      <c r="H99" s="49"/>
      <c r="I99" s="15">
        <v>432</v>
      </c>
      <c r="J99" s="49">
        <v>2044</v>
      </c>
      <c r="K99" s="49">
        <f t="shared" si="15"/>
        <v>18</v>
      </c>
      <c r="L99" s="110">
        <f t="shared" si="16"/>
        <v>7776</v>
      </c>
      <c r="N99"/>
    </row>
    <row r="100" spans="4:14" ht="16">
      <c r="G100" s="120" t="s">
        <v>271</v>
      </c>
      <c r="H100" s="49"/>
      <c r="I100" s="15">
        <v>452</v>
      </c>
      <c r="J100" s="49">
        <v>2045</v>
      </c>
      <c r="K100" s="49">
        <f t="shared" si="15"/>
        <v>19</v>
      </c>
      <c r="L100" s="110">
        <f t="shared" si="16"/>
        <v>8588</v>
      </c>
      <c r="N100"/>
    </row>
    <row r="101" spans="4:14" ht="16">
      <c r="G101" s="120" t="s">
        <v>272</v>
      </c>
      <c r="H101" s="49"/>
      <c r="I101" s="15">
        <v>763</v>
      </c>
      <c r="J101" s="49">
        <v>2050</v>
      </c>
      <c r="K101" s="49">
        <f t="shared" si="15"/>
        <v>24</v>
      </c>
      <c r="L101" s="110">
        <f t="shared" si="16"/>
        <v>18312</v>
      </c>
      <c r="N101"/>
    </row>
    <row r="102" spans="4:14" ht="16">
      <c r="G102" s="120" t="s">
        <v>363</v>
      </c>
      <c r="H102" s="49"/>
      <c r="I102" s="15">
        <v>628</v>
      </c>
      <c r="J102" s="49">
        <v>2057</v>
      </c>
      <c r="K102" s="49">
        <f t="shared" si="15"/>
        <v>31</v>
      </c>
      <c r="L102" s="110">
        <f t="shared" si="16"/>
        <v>19468</v>
      </c>
      <c r="N102"/>
    </row>
    <row r="103" spans="4:14" ht="16">
      <c r="G103" s="120" t="s">
        <v>364</v>
      </c>
      <c r="H103" s="49"/>
      <c r="I103" s="15">
        <v>989</v>
      </c>
      <c r="J103" s="49">
        <v>2062</v>
      </c>
      <c r="K103" s="49">
        <f t="shared" si="15"/>
        <v>36</v>
      </c>
      <c r="L103" s="110">
        <f t="shared" si="16"/>
        <v>35604</v>
      </c>
      <c r="N103"/>
    </row>
    <row r="104" spans="4:14" ht="16">
      <c r="G104" s="92"/>
      <c r="H104" s="49"/>
      <c r="I104" s="15"/>
      <c r="J104" s="49"/>
      <c r="K104" s="49"/>
      <c r="L104" s="110"/>
      <c r="N104"/>
    </row>
    <row r="105" spans="4:14" ht="15">
      <c r="D105" s="116"/>
      <c r="G105" s="73" t="s">
        <v>342</v>
      </c>
      <c r="H105" s="117"/>
      <c r="I105" s="117"/>
      <c r="J105" s="117"/>
      <c r="K105" s="117"/>
      <c r="L105" s="118">
        <f>SUM(L79:L103)</f>
        <v>177607</v>
      </c>
      <c r="N105"/>
    </row>
    <row r="106" spans="4:14" ht="15">
      <c r="N106"/>
    </row>
    <row r="107" spans="4:14" ht="15">
      <c r="N107"/>
    </row>
    <row r="108" spans="4:14" ht="15">
      <c r="N108"/>
    </row>
    <row r="109" spans="4:14" ht="15">
      <c r="N109"/>
    </row>
    <row r="110" spans="4:14" ht="15">
      <c r="N110"/>
    </row>
    <row r="111" spans="4:14" ht="15">
      <c r="N111"/>
    </row>
    <row r="112" spans="4:14" ht="15">
      <c r="N112"/>
    </row>
    <row r="113" spans="14:14" ht="15">
      <c r="N113"/>
    </row>
    <row r="114" spans="14:14" ht="15">
      <c r="N114"/>
    </row>
    <row r="115" spans="14:14" ht="15">
      <c r="N115"/>
    </row>
    <row r="116" spans="14:14" ht="15">
      <c r="N116"/>
    </row>
    <row r="117" spans="14:14" ht="15">
      <c r="N117"/>
    </row>
    <row r="118" spans="14:14" ht="15">
      <c r="N118"/>
    </row>
    <row r="119" spans="14:14" ht="15">
      <c r="N119"/>
    </row>
  </sheetData>
  <mergeCells count="1">
    <mergeCell ref="A1:N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1"/>
  <sheetViews>
    <sheetView showGridLines="0" workbookViewId="0">
      <selection activeCell="B7" sqref="B7"/>
    </sheetView>
  </sheetViews>
  <sheetFormatPr baseColWidth="10" defaultColWidth="8.83203125" defaultRowHeight="15"/>
  <cols>
    <col min="1" max="1" width="58" customWidth="1"/>
    <col min="2" max="4" width="18" customWidth="1"/>
  </cols>
  <sheetData>
    <row r="1" spans="1:26">
      <c r="A1" s="192" t="s">
        <v>134</v>
      </c>
      <c r="B1" s="192"/>
      <c r="C1" s="192"/>
      <c r="D1" s="192"/>
      <c r="E1" s="5"/>
      <c r="F1" s="5"/>
      <c r="G1" s="5"/>
      <c r="H1" s="5"/>
      <c r="I1" s="5"/>
      <c r="J1" s="5"/>
      <c r="K1" s="5"/>
      <c r="L1" s="5"/>
      <c r="M1" s="5"/>
      <c r="N1" s="5"/>
      <c r="O1" s="5"/>
      <c r="P1" s="5"/>
      <c r="Q1" s="5"/>
      <c r="R1" s="5"/>
      <c r="S1" s="5"/>
      <c r="T1" s="5"/>
      <c r="U1" s="5"/>
      <c r="V1" s="5"/>
      <c r="W1" s="5"/>
      <c r="X1" s="5"/>
      <c r="Y1" s="5"/>
      <c r="Z1" s="5"/>
    </row>
    <row r="2" spans="1:26" ht="32">
      <c r="A2" s="2" t="s">
        <v>135</v>
      </c>
      <c r="B2" s="2" t="s">
        <v>136</v>
      </c>
      <c r="C2" s="2" t="s">
        <v>137</v>
      </c>
      <c r="D2" s="2" t="s">
        <v>138</v>
      </c>
    </row>
    <row r="3" spans="1:26">
      <c r="A3" t="s">
        <v>8</v>
      </c>
      <c r="B3" s="1">
        <v>16622</v>
      </c>
      <c r="C3" s="1">
        <v>12269</v>
      </c>
      <c r="D3" s="3">
        <f t="shared" ref="D3:D28" si="0">SUM(B3:C3)</f>
        <v>28891</v>
      </c>
    </row>
    <row r="4" spans="1:26">
      <c r="A4" t="s">
        <v>10</v>
      </c>
      <c r="B4" s="1">
        <v>-11287</v>
      </c>
      <c r="C4" s="1">
        <v>-8408</v>
      </c>
      <c r="D4" s="3">
        <f t="shared" si="0"/>
        <v>-19695</v>
      </c>
    </row>
    <row r="5" spans="1:26">
      <c r="A5" t="s">
        <v>11</v>
      </c>
      <c r="B5" s="1">
        <v>0</v>
      </c>
      <c r="C5" s="1">
        <v>-41</v>
      </c>
      <c r="D5" s="3">
        <f t="shared" si="0"/>
        <v>-41</v>
      </c>
    </row>
    <row r="6" spans="1:26">
      <c r="A6" t="s">
        <v>12</v>
      </c>
      <c r="B6" s="1">
        <v>-3526</v>
      </c>
      <c r="C6" s="1">
        <v>-2594</v>
      </c>
      <c r="D6" s="3">
        <f t="shared" si="0"/>
        <v>-6120</v>
      </c>
    </row>
    <row r="7" spans="1:26">
      <c r="A7" t="s">
        <v>13</v>
      </c>
      <c r="B7" s="1">
        <v>-204</v>
      </c>
      <c r="C7" s="1">
        <v>-590</v>
      </c>
      <c r="D7" s="3">
        <f t="shared" si="0"/>
        <v>-794</v>
      </c>
    </row>
    <row r="8" spans="1:26">
      <c r="A8" t="s">
        <v>14</v>
      </c>
      <c r="B8" s="1">
        <v>-157</v>
      </c>
      <c r="C8" s="1">
        <v>0</v>
      </c>
      <c r="D8" s="3">
        <f t="shared" si="0"/>
        <v>-157</v>
      </c>
    </row>
    <row r="9" spans="1:26">
      <c r="A9" t="s">
        <v>15</v>
      </c>
      <c r="B9" s="1">
        <v>-454</v>
      </c>
      <c r="C9" s="1">
        <v>-731</v>
      </c>
      <c r="D9" s="3">
        <f t="shared" si="0"/>
        <v>-1185</v>
      </c>
    </row>
    <row r="10" spans="1:26">
      <c r="A10" t="s">
        <v>17</v>
      </c>
      <c r="B10" s="1">
        <v>35</v>
      </c>
      <c r="C10" s="1">
        <v>0</v>
      </c>
      <c r="D10" s="3">
        <f t="shared" si="0"/>
        <v>35</v>
      </c>
      <c r="F10">
        <f>B7*0.5%</f>
        <v>-1.02</v>
      </c>
    </row>
    <row r="11" spans="1:26">
      <c r="A11" t="s">
        <v>18</v>
      </c>
      <c r="B11" s="1">
        <v>1029</v>
      </c>
      <c r="C11" s="1">
        <v>-95</v>
      </c>
      <c r="D11" s="3">
        <f t="shared" si="0"/>
        <v>934</v>
      </c>
    </row>
    <row r="12" spans="1:26">
      <c r="A12" t="s">
        <v>20</v>
      </c>
      <c r="B12" s="1">
        <v>-516</v>
      </c>
      <c r="C12" s="1">
        <v>-366</v>
      </c>
      <c r="D12" s="3">
        <f t="shared" si="0"/>
        <v>-882</v>
      </c>
    </row>
    <row r="13" spans="1:26">
      <c r="A13" t="s">
        <v>21</v>
      </c>
      <c r="B13" s="1">
        <v>83</v>
      </c>
      <c r="C13" s="1">
        <v>64</v>
      </c>
      <c r="D13" s="3">
        <f t="shared" si="0"/>
        <v>147</v>
      </c>
    </row>
    <row r="14" spans="1:26">
      <c r="A14" t="s">
        <v>22</v>
      </c>
      <c r="B14" s="1">
        <v>0</v>
      </c>
      <c r="C14" s="1">
        <v>-40</v>
      </c>
      <c r="D14" s="3">
        <f t="shared" si="0"/>
        <v>-40</v>
      </c>
    </row>
    <row r="15" spans="1:26">
      <c r="A15" t="s">
        <v>24</v>
      </c>
      <c r="B15" s="1">
        <v>-92</v>
      </c>
      <c r="C15" s="1">
        <v>-39</v>
      </c>
      <c r="D15" s="3">
        <f t="shared" si="0"/>
        <v>-131</v>
      </c>
    </row>
    <row r="16" spans="1:26">
      <c r="A16" t="s">
        <v>25</v>
      </c>
      <c r="B16" s="1">
        <v>504</v>
      </c>
      <c r="C16" s="1">
        <v>-476</v>
      </c>
      <c r="D16" s="3">
        <f t="shared" si="0"/>
        <v>28</v>
      </c>
    </row>
    <row r="17" spans="1:4">
      <c r="A17" t="s">
        <v>139</v>
      </c>
      <c r="B17" s="1">
        <v>79</v>
      </c>
      <c r="C17" s="1">
        <v>40</v>
      </c>
      <c r="D17" s="3">
        <f t="shared" si="0"/>
        <v>119</v>
      </c>
    </row>
    <row r="18" spans="1:4">
      <c r="A18" t="s">
        <v>140</v>
      </c>
      <c r="B18" s="1">
        <v>-171</v>
      </c>
      <c r="C18" s="1">
        <v>-104</v>
      </c>
      <c r="D18" s="3">
        <f t="shared" si="0"/>
        <v>-275</v>
      </c>
    </row>
    <row r="19" spans="1:4">
      <c r="A19" t="s">
        <v>28</v>
      </c>
      <c r="B19" s="1">
        <v>412</v>
      </c>
      <c r="C19" s="1">
        <v>-540</v>
      </c>
      <c r="D19" s="3">
        <f t="shared" si="0"/>
        <v>-128</v>
      </c>
    </row>
    <row r="20" spans="1:4">
      <c r="A20" t="s">
        <v>31</v>
      </c>
      <c r="B20" s="1">
        <v>-447</v>
      </c>
      <c r="C20" s="1">
        <v>-46</v>
      </c>
      <c r="D20" s="3">
        <f t="shared" si="0"/>
        <v>-493</v>
      </c>
    </row>
    <row r="21" spans="1:4">
      <c r="A21" t="s">
        <v>141</v>
      </c>
      <c r="B21" s="1">
        <v>-35</v>
      </c>
      <c r="C21" s="1">
        <v>-586</v>
      </c>
      <c r="D21" s="3">
        <f t="shared" si="0"/>
        <v>-621</v>
      </c>
    </row>
    <row r="22" spans="1:4">
      <c r="A22" t="s">
        <v>142</v>
      </c>
      <c r="B22" s="1">
        <v>164</v>
      </c>
      <c r="C22" s="1">
        <v>485</v>
      </c>
      <c r="D22" s="3">
        <f t="shared" si="0"/>
        <v>649</v>
      </c>
    </row>
    <row r="23" spans="1:4">
      <c r="A23" t="s">
        <v>143</v>
      </c>
      <c r="B23" s="1">
        <v>-276</v>
      </c>
      <c r="C23" s="1">
        <v>-160</v>
      </c>
      <c r="D23" s="3">
        <f t="shared" si="0"/>
        <v>-436</v>
      </c>
    </row>
    <row r="24" spans="1:4">
      <c r="A24" t="s">
        <v>144</v>
      </c>
      <c r="B24" s="1">
        <v>-159</v>
      </c>
      <c r="C24" s="1">
        <v>-911</v>
      </c>
      <c r="D24" s="3">
        <f t="shared" si="0"/>
        <v>-1070</v>
      </c>
    </row>
    <row r="25" spans="1:4">
      <c r="A25" t="s">
        <v>145</v>
      </c>
      <c r="B25" s="1">
        <v>70</v>
      </c>
      <c r="C25" s="1">
        <v>9</v>
      </c>
      <c r="D25" s="3">
        <f t="shared" si="0"/>
        <v>79</v>
      </c>
    </row>
    <row r="26" spans="1:4">
      <c r="A26" t="s">
        <v>146</v>
      </c>
      <c r="B26" s="1">
        <v>-201</v>
      </c>
      <c r="C26" s="1">
        <v>-577</v>
      </c>
      <c r="D26" s="3">
        <f t="shared" si="0"/>
        <v>-778</v>
      </c>
    </row>
    <row r="27" spans="1:4">
      <c r="A27" t="s">
        <v>147</v>
      </c>
      <c r="B27" s="1">
        <v>2661</v>
      </c>
      <c r="C27" s="1">
        <v>3851</v>
      </c>
      <c r="D27" s="3">
        <f t="shared" si="0"/>
        <v>6512</v>
      </c>
    </row>
    <row r="28" spans="1:4">
      <c r="A28" t="s">
        <v>148</v>
      </c>
      <c r="B28" s="1">
        <v>2460</v>
      </c>
      <c r="C28" s="1">
        <v>3274</v>
      </c>
      <c r="D28" s="3">
        <f t="shared" si="0"/>
        <v>5734</v>
      </c>
    </row>
    <row r="30" spans="1:4">
      <c r="A30" s="193" t="s">
        <v>149</v>
      </c>
      <c r="B30" s="193"/>
      <c r="C30" s="193"/>
      <c r="D30" s="193"/>
    </row>
    <row r="31" spans="1:4">
      <c r="A31" s="193"/>
      <c r="B31" s="193"/>
      <c r="C31" s="193"/>
      <c r="D31" s="193"/>
    </row>
  </sheetData>
  <mergeCells count="2">
    <mergeCell ref="A1:D1"/>
    <mergeCell ref="A30:D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
  <sheetViews>
    <sheetView workbookViewId="0"/>
  </sheetViews>
  <sheetFormatPr baseColWidth="10" defaultColWidth="8.83203125" defaultRowHeight="15"/>
  <cols>
    <col min="1" max="1" width="14" customWidth="1"/>
    <col min="2" max="3" width="46" customWidth="1"/>
    <col min="4" max="4" width="70" customWidth="1"/>
  </cols>
  <sheetData>
    <row r="1" spans="1:26">
      <c r="A1" s="6" t="s">
        <v>150</v>
      </c>
      <c r="B1" s="6" t="s">
        <v>151</v>
      </c>
      <c r="C1" s="6" t="s">
        <v>152</v>
      </c>
      <c r="D1" s="6" t="s">
        <v>153</v>
      </c>
      <c r="E1" s="5"/>
      <c r="F1" s="5"/>
      <c r="G1" s="5"/>
      <c r="H1" s="5"/>
      <c r="I1" s="5"/>
      <c r="J1" s="5"/>
      <c r="K1" s="5"/>
      <c r="L1" s="5"/>
      <c r="M1" s="5"/>
      <c r="N1" s="5"/>
      <c r="O1" s="5"/>
      <c r="P1" s="5"/>
      <c r="Q1" s="5"/>
      <c r="R1" s="5"/>
      <c r="S1" s="5"/>
      <c r="T1" s="5"/>
      <c r="U1" s="5"/>
      <c r="V1" s="5"/>
      <c r="W1" s="5"/>
      <c r="X1" s="5"/>
      <c r="Y1" s="5"/>
      <c r="Z1" s="5"/>
    </row>
    <row r="2" spans="1:26" ht="32">
      <c r="A2" s="4" t="s">
        <v>154</v>
      </c>
      <c r="B2" s="4" t="s">
        <v>155</v>
      </c>
      <c r="C2" s="4" t="s">
        <v>156</v>
      </c>
      <c r="D2" s="4" t="s">
        <v>157</v>
      </c>
    </row>
    <row r="3" spans="1:26" ht="32">
      <c r="A3" s="4" t="s">
        <v>158</v>
      </c>
      <c r="B3" s="4" t="s">
        <v>159</v>
      </c>
      <c r="C3" s="4" t="s">
        <v>160</v>
      </c>
      <c r="D3" s="4" t="s">
        <v>161</v>
      </c>
    </row>
    <row r="4" spans="1:26" ht="32">
      <c r="A4" s="4" t="s">
        <v>162</v>
      </c>
      <c r="B4" s="4" t="s">
        <v>163</v>
      </c>
      <c r="C4" s="4" t="s">
        <v>164</v>
      </c>
      <c r="D4" s="4" t="s">
        <v>165</v>
      </c>
    </row>
    <row r="5" spans="1:26" ht="32">
      <c r="A5" s="4" t="s">
        <v>166</v>
      </c>
      <c r="B5" s="4" t="s">
        <v>167</v>
      </c>
      <c r="C5" s="4" t="s">
        <v>168</v>
      </c>
      <c r="D5" s="4"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Historicals</vt:lpstr>
      <vt:lpstr>Forecast</vt:lpstr>
      <vt:lpstr>Assumptions</vt:lpstr>
      <vt:lpstr>DCF</vt:lpstr>
      <vt:lpstr>2025 Reported Bridge</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M</cp:lastModifiedBy>
  <dcterms:created xsi:type="dcterms:W3CDTF">2026-07-28T17:22:09Z</dcterms:created>
  <dcterms:modified xsi:type="dcterms:W3CDTF">2026-08-03T10:35:27Z</dcterms:modified>
</cp:coreProperties>
</file>