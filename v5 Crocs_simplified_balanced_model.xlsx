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teamdojo/Desktop/Prep/"/>
    </mc:Choice>
  </mc:AlternateContent>
  <xr:revisionPtr revIDLastSave="0" documentId="8_{5065070E-1D09-9F46-952E-0DC5E4F63AAB}" xr6:coauthVersionLast="47" xr6:coauthVersionMax="47" xr10:uidLastSave="{00000000-0000-0000-0000-000000000000}"/>
  <bookViews>
    <workbookView xWindow="0" yWindow="500" windowWidth="28800" windowHeight="16260" activeTab="3" xr2:uid="{00000000-000D-0000-FFFF-FFFF00000000}"/>
  </bookViews>
  <sheets>
    <sheet name="Full Historical Statements" sheetId="1" r:id="rId1"/>
    <sheet name="Source Notes" sheetId="3" r:id="rId2"/>
    <sheet name="Simplified Model" sheetId="4" r:id="rId3"/>
    <sheet name="DCF" sheetId="5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141" i="1" l="1"/>
  <c r="L141" i="1"/>
  <c r="K141" i="1"/>
  <c r="C76" i="5"/>
  <c r="C78" i="5"/>
  <c r="C79" i="5" s="1"/>
  <c r="C77" i="5"/>
  <c r="C73" i="5"/>
  <c r="C74" i="5" s="1"/>
  <c r="C67" i="5"/>
  <c r="C68" i="5" s="1"/>
  <c r="C62" i="5"/>
  <c r="H60" i="5"/>
  <c r="F9" i="5"/>
  <c r="G9" i="5"/>
  <c r="E9" i="5"/>
  <c r="F34" i="5"/>
  <c r="G34" i="5"/>
  <c r="E34" i="5"/>
  <c r="F33" i="5"/>
  <c r="G33" i="5"/>
  <c r="E33" i="5"/>
  <c r="F15" i="5"/>
  <c r="F32" i="5" s="1"/>
  <c r="G15" i="5"/>
  <c r="G32" i="5" s="1"/>
  <c r="E15" i="5"/>
  <c r="E32" i="5" s="1"/>
  <c r="F19" i="5"/>
  <c r="F30" i="5" s="1"/>
  <c r="G19" i="5"/>
  <c r="G30" i="5" s="1"/>
  <c r="I19" i="5"/>
  <c r="I30" i="5" s="1"/>
  <c r="K19" i="5"/>
  <c r="K30" i="5" s="1"/>
  <c r="L19" i="5"/>
  <c r="L30" i="5" s="1"/>
  <c r="J18" i="4"/>
  <c r="M18" i="4"/>
  <c r="L18" i="4"/>
  <c r="E19" i="5"/>
  <c r="E30" i="5" s="1"/>
  <c r="H11" i="1"/>
  <c r="F18" i="5"/>
  <c r="G18" i="5"/>
  <c r="H18" i="5"/>
  <c r="I18" i="5"/>
  <c r="J18" i="5"/>
  <c r="K18" i="5"/>
  <c r="L18" i="5"/>
  <c r="G11" i="1"/>
  <c r="E18" i="5"/>
  <c r="F12" i="5"/>
  <c r="G12" i="5"/>
  <c r="E12" i="5"/>
  <c r="F8" i="5"/>
  <c r="G8" i="5"/>
  <c r="E8" i="5"/>
  <c r="C80" i="5" l="1"/>
  <c r="C81" i="5" s="1"/>
  <c r="F6" i="5"/>
  <c r="G6" i="5"/>
  <c r="F2" i="5"/>
  <c r="E4" i="5"/>
  <c r="F3" i="5"/>
  <c r="G3" i="5"/>
  <c r="G10" i="5"/>
  <c r="G13" i="5" s="1"/>
  <c r="G4" i="5"/>
  <c r="F10" i="5"/>
  <c r="F13" i="5" s="1"/>
  <c r="F4" i="5"/>
  <c r="E3" i="5"/>
  <c r="G2" i="5"/>
  <c r="E10" i="5"/>
  <c r="E13" i="5" s="1"/>
  <c r="C75" i="5" l="1"/>
  <c r="C55" i="5" s="1"/>
  <c r="G16" i="5"/>
  <c r="G29" i="5" s="1"/>
  <c r="G31" i="5" s="1"/>
  <c r="G35" i="5" s="1"/>
  <c r="E16" i="5"/>
  <c r="E29" i="5" s="1"/>
  <c r="E31" i="5" s="1"/>
  <c r="E35" i="5" s="1"/>
  <c r="F16" i="5"/>
  <c r="F29" i="5" s="1"/>
  <c r="F31" i="5" s="1"/>
  <c r="F35" i="5" s="1"/>
  <c r="H69" i="4" l="1"/>
  <c r="G69" i="4"/>
  <c r="F69" i="4"/>
  <c r="E69" i="4"/>
  <c r="D69" i="4"/>
  <c r="H67" i="4"/>
  <c r="G67" i="4"/>
  <c r="F67" i="4"/>
  <c r="E67" i="4"/>
  <c r="D67" i="4"/>
  <c r="M65" i="4"/>
  <c r="L65" i="4"/>
  <c r="K65" i="4"/>
  <c r="J65" i="4"/>
  <c r="I65" i="4"/>
  <c r="H65" i="4"/>
  <c r="G65" i="4"/>
  <c r="F65" i="4"/>
  <c r="E65" i="4"/>
  <c r="D65" i="4"/>
  <c r="H64" i="4"/>
  <c r="G64" i="4"/>
  <c r="F64" i="4"/>
  <c r="E64" i="4"/>
  <c r="D64" i="4"/>
  <c r="M62" i="4"/>
  <c r="L62" i="4"/>
  <c r="K62" i="4"/>
  <c r="J62" i="4"/>
  <c r="I62" i="4"/>
  <c r="H62" i="4"/>
  <c r="G62" i="4"/>
  <c r="F62" i="4"/>
  <c r="E62" i="4"/>
  <c r="D62" i="4"/>
  <c r="H61" i="4"/>
  <c r="G61" i="4"/>
  <c r="F61" i="4"/>
  <c r="E61" i="4"/>
  <c r="D61" i="4"/>
  <c r="H59" i="4"/>
  <c r="G59" i="4"/>
  <c r="F59" i="4"/>
  <c r="E59" i="4"/>
  <c r="D59" i="4"/>
  <c r="H58" i="4"/>
  <c r="G58" i="4"/>
  <c r="F58" i="4"/>
  <c r="E58" i="4"/>
  <c r="D58" i="4"/>
  <c r="H57" i="4"/>
  <c r="G57" i="4"/>
  <c r="F57" i="4"/>
  <c r="E57" i="4"/>
  <c r="D57" i="4"/>
  <c r="H49" i="4"/>
  <c r="G49" i="4"/>
  <c r="F49" i="4"/>
  <c r="E49" i="4"/>
  <c r="D49" i="4"/>
  <c r="H48" i="4"/>
  <c r="G48" i="4"/>
  <c r="F48" i="4"/>
  <c r="E48" i="4"/>
  <c r="D48" i="4"/>
  <c r="H47" i="4"/>
  <c r="G47" i="4"/>
  <c r="F47" i="4"/>
  <c r="E47" i="4"/>
  <c r="D47" i="4"/>
  <c r="H46" i="4"/>
  <c r="G46" i="4"/>
  <c r="F46" i="4"/>
  <c r="E46" i="4"/>
  <c r="D46" i="4"/>
  <c r="M45" i="4"/>
  <c r="L45" i="4"/>
  <c r="K45" i="4"/>
  <c r="J45" i="4"/>
  <c r="I45" i="4"/>
  <c r="H45" i="4"/>
  <c r="G45" i="4"/>
  <c r="F45" i="4"/>
  <c r="E45" i="4"/>
  <c r="D45" i="4"/>
  <c r="H41" i="4"/>
  <c r="H40" i="4"/>
  <c r="G40" i="4"/>
  <c r="F40" i="4"/>
  <c r="E40" i="4"/>
  <c r="D40" i="4"/>
  <c r="H39" i="4"/>
  <c r="G39" i="4"/>
  <c r="F39" i="4"/>
  <c r="E39" i="4"/>
  <c r="D39" i="4"/>
  <c r="H37" i="4"/>
  <c r="G37" i="4"/>
  <c r="F37" i="4"/>
  <c r="E37" i="4"/>
  <c r="D37" i="4"/>
  <c r="H36" i="4"/>
  <c r="H38" i="4" s="1"/>
  <c r="G36" i="4"/>
  <c r="G38" i="4" s="1"/>
  <c r="G41" i="4" s="1"/>
  <c r="G51" i="4" s="1"/>
  <c r="F36" i="4"/>
  <c r="F38" i="4" s="1"/>
  <c r="F41" i="4" s="1"/>
  <c r="E36" i="4"/>
  <c r="E38" i="4" s="1"/>
  <c r="E41" i="4" s="1"/>
  <c r="D36" i="4"/>
  <c r="D38" i="4" s="1"/>
  <c r="D41" i="4" s="1"/>
  <c r="H31" i="4"/>
  <c r="G31" i="4"/>
  <c r="F31" i="4"/>
  <c r="E31" i="4"/>
  <c r="D31" i="4"/>
  <c r="H30" i="4"/>
  <c r="G30" i="4"/>
  <c r="F30" i="4"/>
  <c r="E30" i="4"/>
  <c r="D30" i="4"/>
  <c r="D32" i="4" s="1"/>
  <c r="H29" i="4"/>
  <c r="G29" i="4"/>
  <c r="F29" i="4"/>
  <c r="E29" i="4"/>
  <c r="D29" i="4"/>
  <c r="H28" i="4"/>
  <c r="G28" i="4"/>
  <c r="F28" i="4"/>
  <c r="E28" i="4"/>
  <c r="D28" i="4"/>
  <c r="F27" i="4"/>
  <c r="D27" i="4"/>
  <c r="H26" i="4"/>
  <c r="G26" i="4"/>
  <c r="F26" i="4"/>
  <c r="E26" i="4"/>
  <c r="D26" i="4"/>
  <c r="H25" i="4"/>
  <c r="G25" i="4"/>
  <c r="F25" i="4"/>
  <c r="E25" i="4"/>
  <c r="D25" i="4"/>
  <c r="H24" i="4"/>
  <c r="G24" i="4"/>
  <c r="F24" i="4"/>
  <c r="E24" i="4"/>
  <c r="D24" i="4"/>
  <c r="H23" i="4"/>
  <c r="H27" i="4" s="1"/>
  <c r="G23" i="4"/>
  <c r="G27" i="4" s="1"/>
  <c r="G32" i="4" s="1"/>
  <c r="F23" i="4"/>
  <c r="E23" i="4"/>
  <c r="D23" i="4"/>
  <c r="H18" i="4"/>
  <c r="G18" i="4"/>
  <c r="F18" i="4"/>
  <c r="E18" i="4"/>
  <c r="D18" i="4"/>
  <c r="H16" i="4"/>
  <c r="G16" i="4"/>
  <c r="F16" i="4"/>
  <c r="E16" i="4"/>
  <c r="D16" i="4"/>
  <c r="H15" i="4"/>
  <c r="G15" i="4"/>
  <c r="F15" i="4"/>
  <c r="E15" i="4"/>
  <c r="D15" i="4"/>
  <c r="M14" i="4"/>
  <c r="L14" i="4"/>
  <c r="K14" i="4"/>
  <c r="J14" i="4"/>
  <c r="I14" i="4"/>
  <c r="H14" i="4"/>
  <c r="G14" i="4"/>
  <c r="F14" i="4"/>
  <c r="E14" i="4"/>
  <c r="D14" i="4"/>
  <c r="M13" i="4"/>
  <c r="L13" i="4"/>
  <c r="K13" i="4"/>
  <c r="J13" i="4"/>
  <c r="I13" i="4"/>
  <c r="H13" i="4"/>
  <c r="G13" i="4"/>
  <c r="F13" i="4"/>
  <c r="E13" i="4"/>
  <c r="D13" i="4"/>
  <c r="H12" i="4"/>
  <c r="M11" i="4"/>
  <c r="L11" i="4"/>
  <c r="K11" i="4"/>
  <c r="J11" i="4"/>
  <c r="I11" i="4"/>
  <c r="H11" i="4"/>
  <c r="G11" i="4"/>
  <c r="F11" i="4"/>
  <c r="E11" i="4"/>
  <c r="D11" i="4"/>
  <c r="H10" i="4"/>
  <c r="G10" i="4"/>
  <c r="F10" i="4"/>
  <c r="E10" i="4"/>
  <c r="D10" i="4"/>
  <c r="H8" i="4"/>
  <c r="G8" i="4"/>
  <c r="F8" i="4"/>
  <c r="E8" i="4"/>
  <c r="D8" i="4"/>
  <c r="H7" i="4"/>
  <c r="G7" i="4"/>
  <c r="F7" i="4"/>
  <c r="E7" i="4"/>
  <c r="D7" i="4"/>
  <c r="M146" i="1"/>
  <c r="L146" i="1"/>
  <c r="K146" i="1"/>
  <c r="J146" i="1"/>
  <c r="I146" i="1"/>
  <c r="H146" i="1"/>
  <c r="G146" i="1"/>
  <c r="F146" i="1"/>
  <c r="E146" i="1"/>
  <c r="L145" i="1"/>
  <c r="K145" i="1"/>
  <c r="J145" i="1"/>
  <c r="I145" i="1"/>
  <c r="H145" i="1"/>
  <c r="G145" i="1"/>
  <c r="F145" i="1"/>
  <c r="E145" i="1"/>
  <c r="H144" i="1"/>
  <c r="G144" i="1"/>
  <c r="F144" i="1"/>
  <c r="E144" i="1"/>
  <c r="D144" i="1"/>
  <c r="H142" i="1"/>
  <c r="E142" i="1"/>
  <c r="D142" i="1"/>
  <c r="D143" i="1" s="1"/>
  <c r="J141" i="1"/>
  <c r="J136" i="1" s="1"/>
  <c r="J105" i="1" s="1"/>
  <c r="I141" i="1"/>
  <c r="H141" i="1"/>
  <c r="G141" i="1"/>
  <c r="F141" i="1"/>
  <c r="E141" i="1"/>
  <c r="D137" i="1"/>
  <c r="H136" i="1"/>
  <c r="H137" i="1" s="1"/>
  <c r="E136" i="1"/>
  <c r="E137" i="1" s="1"/>
  <c r="H130" i="1"/>
  <c r="G130" i="1"/>
  <c r="F130" i="1"/>
  <c r="E130" i="1"/>
  <c r="D130" i="1"/>
  <c r="M129" i="1"/>
  <c r="L129" i="1"/>
  <c r="K99" i="1"/>
  <c r="J99" i="1"/>
  <c r="H129" i="1"/>
  <c r="G129" i="1"/>
  <c r="F129" i="1"/>
  <c r="E129" i="1"/>
  <c r="D129" i="1"/>
  <c r="G124" i="1"/>
  <c r="H123" i="1"/>
  <c r="G123" i="1"/>
  <c r="F123" i="1"/>
  <c r="E123" i="1"/>
  <c r="D123" i="1"/>
  <c r="H122" i="1"/>
  <c r="H124" i="1" s="1"/>
  <c r="H125" i="1" s="1"/>
  <c r="H97" i="1" s="1"/>
  <c r="H60" i="4" s="1"/>
  <c r="G122" i="1"/>
  <c r="F122" i="1"/>
  <c r="E122" i="1"/>
  <c r="D122" i="1"/>
  <c r="D124" i="1" s="1"/>
  <c r="D125" i="1" s="1"/>
  <c r="D97" i="1" s="1"/>
  <c r="D60" i="4" s="1"/>
  <c r="H121" i="1"/>
  <c r="G121" i="1"/>
  <c r="F121" i="1"/>
  <c r="E121" i="1"/>
  <c r="E124" i="1" s="1"/>
  <c r="E125" i="1" s="1"/>
  <c r="E97" i="1" s="1"/>
  <c r="E60" i="4" s="1"/>
  <c r="D121" i="1"/>
  <c r="I114" i="1"/>
  <c r="I69" i="4" s="1"/>
  <c r="K112" i="1"/>
  <c r="K67" i="4" s="1"/>
  <c r="J112" i="1"/>
  <c r="I112" i="1"/>
  <c r="I67" i="4" s="1"/>
  <c r="H111" i="1"/>
  <c r="H66" i="4" s="1"/>
  <c r="G111" i="1"/>
  <c r="G66" i="4" s="1"/>
  <c r="F111" i="1"/>
  <c r="F66" i="4" s="1"/>
  <c r="E111" i="1"/>
  <c r="E66" i="4" s="1"/>
  <c r="D111" i="1"/>
  <c r="D66" i="4" s="1"/>
  <c r="H103" i="1"/>
  <c r="H63" i="4" s="1"/>
  <c r="G103" i="1"/>
  <c r="G63" i="4" s="1"/>
  <c r="F103" i="1"/>
  <c r="F63" i="4" s="1"/>
  <c r="E103" i="1"/>
  <c r="E63" i="4" s="1"/>
  <c r="D103" i="1"/>
  <c r="D63" i="4" s="1"/>
  <c r="M99" i="1"/>
  <c r="L99" i="1"/>
  <c r="L61" i="4" s="1"/>
  <c r="K33" i="5" s="1"/>
  <c r="I99" i="1"/>
  <c r="J96" i="1"/>
  <c r="I96" i="1"/>
  <c r="L95" i="1"/>
  <c r="M95" i="1" s="1"/>
  <c r="I95" i="1"/>
  <c r="J95" i="1" s="1"/>
  <c r="K95" i="1" s="1"/>
  <c r="I92" i="1"/>
  <c r="I91" i="1"/>
  <c r="J86" i="1"/>
  <c r="I86" i="1"/>
  <c r="I83" i="1"/>
  <c r="I58" i="4" s="1"/>
  <c r="F75" i="1"/>
  <c r="F76" i="1" s="1"/>
  <c r="P11" i="1" s="1"/>
  <c r="H74" i="1"/>
  <c r="H50" i="4" s="1"/>
  <c r="G74" i="1"/>
  <c r="G50" i="4" s="1"/>
  <c r="F74" i="1"/>
  <c r="F50" i="4" s="1"/>
  <c r="E74" i="1"/>
  <c r="E50" i="4" s="1"/>
  <c r="D74" i="1"/>
  <c r="D50" i="4" s="1"/>
  <c r="K73" i="1"/>
  <c r="K49" i="4" s="1"/>
  <c r="J73" i="1"/>
  <c r="I73" i="1"/>
  <c r="I49" i="4" s="1"/>
  <c r="I71" i="1"/>
  <c r="J70" i="1"/>
  <c r="I70" i="1"/>
  <c r="I46" i="4" s="1"/>
  <c r="G66" i="1"/>
  <c r="G75" i="1" s="1"/>
  <c r="G76" i="1" s="1"/>
  <c r="P12" i="1" s="1"/>
  <c r="F66" i="1"/>
  <c r="I65" i="1"/>
  <c r="I64" i="1"/>
  <c r="J64" i="1" s="1"/>
  <c r="I62" i="1"/>
  <c r="H60" i="1"/>
  <c r="H66" i="1" s="1"/>
  <c r="G60" i="1"/>
  <c r="F60" i="1"/>
  <c r="E60" i="1"/>
  <c r="E66" i="1" s="1"/>
  <c r="E75" i="1" s="1"/>
  <c r="D60" i="1"/>
  <c r="D66" i="1" s="1"/>
  <c r="J59" i="1"/>
  <c r="K59" i="1" s="1"/>
  <c r="I59" i="1"/>
  <c r="I57" i="1"/>
  <c r="J57" i="1" s="1"/>
  <c r="I56" i="1"/>
  <c r="G52" i="1"/>
  <c r="F52" i="1"/>
  <c r="I51" i="1"/>
  <c r="I50" i="1"/>
  <c r="K49" i="1"/>
  <c r="J49" i="1"/>
  <c r="I49" i="1"/>
  <c r="I48" i="1"/>
  <c r="I47" i="1"/>
  <c r="I46" i="1"/>
  <c r="J46" i="1" s="1"/>
  <c r="K28" i="4"/>
  <c r="J45" i="1"/>
  <c r="I45" i="1"/>
  <c r="I28" i="4" s="1"/>
  <c r="H44" i="1"/>
  <c r="H52" i="1" s="1"/>
  <c r="G44" i="1"/>
  <c r="F44" i="1"/>
  <c r="E44" i="1"/>
  <c r="E52" i="1" s="1"/>
  <c r="D44" i="1"/>
  <c r="D52" i="1" s="1"/>
  <c r="I43" i="1"/>
  <c r="J43" i="1" s="1"/>
  <c r="K43" i="1" s="1"/>
  <c r="L43" i="1" s="1"/>
  <c r="M43" i="1" s="1"/>
  <c r="K42" i="1"/>
  <c r="L42" i="1" s="1"/>
  <c r="M42" i="1" s="1"/>
  <c r="J42" i="1"/>
  <c r="I42" i="1"/>
  <c r="I41" i="1"/>
  <c r="I30" i="1"/>
  <c r="K29" i="1"/>
  <c r="K15" i="4" s="1"/>
  <c r="J29" i="1"/>
  <c r="H26" i="1"/>
  <c r="H31" i="1" s="1"/>
  <c r="H17" i="4" s="1"/>
  <c r="G26" i="1"/>
  <c r="G12" i="4" s="1"/>
  <c r="D26" i="1"/>
  <c r="D12" i="4" s="1"/>
  <c r="H22" i="1"/>
  <c r="H9" i="4" s="1"/>
  <c r="G22" i="1"/>
  <c r="G9" i="4" s="1"/>
  <c r="F22" i="1"/>
  <c r="F9" i="4" s="1"/>
  <c r="E22" i="1"/>
  <c r="D22" i="1"/>
  <c r="D9" i="4" s="1"/>
  <c r="I20" i="1"/>
  <c r="H16" i="1"/>
  <c r="G16" i="1"/>
  <c r="F16" i="1"/>
  <c r="E16" i="1"/>
  <c r="D16" i="1"/>
  <c r="H15" i="1"/>
  <c r="G15" i="1"/>
  <c r="F15" i="1"/>
  <c r="E15" i="1"/>
  <c r="H14" i="1"/>
  <c r="G14" i="1"/>
  <c r="F14" i="1"/>
  <c r="E14" i="1"/>
  <c r="I14" i="1" s="1"/>
  <c r="D14" i="1"/>
  <c r="H13" i="1"/>
  <c r="G13" i="1"/>
  <c r="F13" i="1"/>
  <c r="E13" i="1"/>
  <c r="D13" i="1"/>
  <c r="H12" i="1"/>
  <c r="G12" i="1"/>
  <c r="F12" i="1"/>
  <c r="E12" i="1"/>
  <c r="D12" i="1"/>
  <c r="D11" i="1"/>
  <c r="H9" i="1"/>
  <c r="G9" i="1"/>
  <c r="F9" i="1"/>
  <c r="E9" i="1"/>
  <c r="D9" i="1"/>
  <c r="H8" i="1"/>
  <c r="G8" i="1"/>
  <c r="F8" i="1"/>
  <c r="E8" i="1"/>
  <c r="D8" i="1"/>
  <c r="H7" i="1"/>
  <c r="G7" i="1"/>
  <c r="F7" i="1"/>
  <c r="E7" i="1"/>
  <c r="D7" i="1"/>
  <c r="H6" i="1"/>
  <c r="G6" i="1"/>
  <c r="F6" i="1"/>
  <c r="E6" i="1"/>
  <c r="L103" i="1" l="1"/>
  <c r="I23" i="1"/>
  <c r="I10" i="4" s="1"/>
  <c r="H12" i="5" s="1"/>
  <c r="I106" i="1"/>
  <c r="I136" i="1"/>
  <c r="I105" i="1" s="1"/>
  <c r="L105" i="1"/>
  <c r="L106" i="1"/>
  <c r="J29" i="4"/>
  <c r="E134" i="1"/>
  <c r="E143" i="1" s="1"/>
  <c r="F134" i="1" s="1"/>
  <c r="J51" i="1"/>
  <c r="K61" i="4"/>
  <c r="J33" i="5" s="1"/>
  <c r="K103" i="1"/>
  <c r="F142" i="1"/>
  <c r="F136" i="1"/>
  <c r="F137" i="1" s="1"/>
  <c r="I47" i="4"/>
  <c r="J71" i="1"/>
  <c r="I59" i="4"/>
  <c r="K91" i="1"/>
  <c r="F26" i="1"/>
  <c r="J50" i="1"/>
  <c r="I37" i="4"/>
  <c r="J56" i="1"/>
  <c r="K57" i="1"/>
  <c r="L57" i="1" s="1"/>
  <c r="J91" i="1"/>
  <c r="M61" i="4"/>
  <c r="L33" i="5" s="1"/>
  <c r="M103" i="1"/>
  <c r="J15" i="4"/>
  <c r="I30" i="4"/>
  <c r="J47" i="1"/>
  <c r="E76" i="1"/>
  <c r="P10" i="1" s="1"/>
  <c r="I13" i="1"/>
  <c r="I7" i="4"/>
  <c r="H8" i="5" s="1"/>
  <c r="I21" i="1"/>
  <c r="I22" i="1" s="1"/>
  <c r="J20" i="1"/>
  <c r="I29" i="4"/>
  <c r="L46" i="1"/>
  <c r="L29" i="4" s="1"/>
  <c r="K46" i="1"/>
  <c r="K29" i="4" s="1"/>
  <c r="L59" i="1"/>
  <c r="M59" i="1" s="1"/>
  <c r="I12" i="1"/>
  <c r="I39" i="1" s="1"/>
  <c r="E9" i="4"/>
  <c r="E26" i="1"/>
  <c r="I16" i="4"/>
  <c r="K30" i="1"/>
  <c r="K16" i="4" s="1"/>
  <c r="J30" i="1"/>
  <c r="G31" i="1"/>
  <c r="H33" i="1"/>
  <c r="L49" i="1"/>
  <c r="M49" i="1" s="1"/>
  <c r="D75" i="1"/>
  <c r="D76" i="1" s="1"/>
  <c r="P9" i="1" s="1"/>
  <c r="H75" i="1"/>
  <c r="H76" i="1" s="1"/>
  <c r="P13" i="1" s="1"/>
  <c r="K65" i="1"/>
  <c r="J65" i="1"/>
  <c r="J46" i="4"/>
  <c r="K70" i="1"/>
  <c r="J49" i="4"/>
  <c r="L73" i="1"/>
  <c r="L49" i="4" s="1"/>
  <c r="L86" i="1"/>
  <c r="J106" i="1"/>
  <c r="J61" i="4"/>
  <c r="I33" i="5" s="1"/>
  <c r="J103" i="1"/>
  <c r="J28" i="4"/>
  <c r="D31" i="1"/>
  <c r="I26" i="4"/>
  <c r="I31" i="4"/>
  <c r="I40" i="4"/>
  <c r="M86" i="1"/>
  <c r="I61" i="4"/>
  <c r="H33" i="5" s="1"/>
  <c r="I103" i="1"/>
  <c r="F124" i="1"/>
  <c r="F125" i="1" s="1"/>
  <c r="F97" i="1" s="1"/>
  <c r="F60" i="4" s="1"/>
  <c r="D131" i="1"/>
  <c r="E128" i="1" s="1"/>
  <c r="E131" i="1" s="1"/>
  <c r="F128" i="1" s="1"/>
  <c r="F131" i="1" s="1"/>
  <c r="G128" i="1" s="1"/>
  <c r="G131" i="1" s="1"/>
  <c r="H128" i="1" s="1"/>
  <c r="H131" i="1" s="1"/>
  <c r="I128" i="1" s="1"/>
  <c r="G142" i="1"/>
  <c r="G136" i="1"/>
  <c r="G137" i="1" s="1"/>
  <c r="K105" i="1"/>
  <c r="K106" i="1"/>
  <c r="D52" i="4"/>
  <c r="D51" i="4"/>
  <c r="F32" i="4"/>
  <c r="H51" i="4"/>
  <c r="J41" i="1"/>
  <c r="J48" i="1"/>
  <c r="J62" i="1"/>
  <c r="K86" i="1"/>
  <c r="J92" i="1"/>
  <c r="K96" i="1"/>
  <c r="L96" i="1" s="1"/>
  <c r="J67" i="4"/>
  <c r="L112" i="1"/>
  <c r="L67" i="4" s="1"/>
  <c r="H32" i="4"/>
  <c r="H52" i="4" s="1"/>
  <c r="J83" i="1"/>
  <c r="J114" i="1"/>
  <c r="F51" i="4"/>
  <c r="G52" i="4"/>
  <c r="E51" i="4"/>
  <c r="E27" i="4"/>
  <c r="E32" i="4" s="1"/>
  <c r="I26" i="1" l="1"/>
  <c r="M28" i="4"/>
  <c r="L28" i="4"/>
  <c r="M63" i="4"/>
  <c r="L63" i="4"/>
  <c r="L64" i="4"/>
  <c r="I64" i="4"/>
  <c r="I111" i="1"/>
  <c r="L111" i="1"/>
  <c r="J64" i="4"/>
  <c r="J111" i="1"/>
  <c r="K63" i="4"/>
  <c r="J63" i="4"/>
  <c r="I63" i="4"/>
  <c r="H2" i="5"/>
  <c r="H4" i="5"/>
  <c r="J40" i="4"/>
  <c r="K62" i="1"/>
  <c r="F52" i="4"/>
  <c r="H80" i="1"/>
  <c r="H19" i="4"/>
  <c r="J30" i="4"/>
  <c r="K47" i="1"/>
  <c r="K30" i="4" s="1"/>
  <c r="F12" i="4"/>
  <c r="F31" i="1"/>
  <c r="L91" i="1"/>
  <c r="M57" i="1"/>
  <c r="K51" i="1"/>
  <c r="L51" i="1" s="1"/>
  <c r="M51" i="1" s="1"/>
  <c r="J69" i="4"/>
  <c r="K114" i="1"/>
  <c r="K69" i="4" s="1"/>
  <c r="M112" i="1"/>
  <c r="M67" i="4" s="1"/>
  <c r="K92" i="1"/>
  <c r="K59" i="4" s="1"/>
  <c r="J26" i="4"/>
  <c r="K41" i="1"/>
  <c r="K26" i="4" s="1"/>
  <c r="M73" i="1"/>
  <c r="M49" i="4" s="1"/>
  <c r="J16" i="4"/>
  <c r="M30" i="1"/>
  <c r="M16" i="4" s="1"/>
  <c r="L30" i="1"/>
  <c r="L16" i="4" s="1"/>
  <c r="E12" i="4"/>
  <c r="E31" i="1"/>
  <c r="J7" i="4"/>
  <c r="I8" i="5" s="1"/>
  <c r="J21" i="1"/>
  <c r="J22" i="1" s="1"/>
  <c r="K20" i="1"/>
  <c r="J23" i="1"/>
  <c r="J10" i="4" s="1"/>
  <c r="I12" i="5" s="1"/>
  <c r="J39" i="1"/>
  <c r="J37" i="4"/>
  <c r="K56" i="1"/>
  <c r="E148" i="1"/>
  <c r="E147" i="1"/>
  <c r="M46" i="1"/>
  <c r="M29" i="4" s="1"/>
  <c r="L47" i="1"/>
  <c r="L30" i="4" s="1"/>
  <c r="K64" i="4"/>
  <c r="K111" i="1"/>
  <c r="D17" i="4"/>
  <c r="D33" i="1"/>
  <c r="K46" i="4"/>
  <c r="L70" i="1"/>
  <c r="I24" i="4"/>
  <c r="I121" i="1"/>
  <c r="J31" i="4"/>
  <c r="M48" i="1"/>
  <c r="L48" i="1"/>
  <c r="K48" i="1"/>
  <c r="G17" i="4"/>
  <c r="G33" i="1"/>
  <c r="I9" i="4"/>
  <c r="E52" i="4"/>
  <c r="J58" i="4"/>
  <c r="K83" i="1"/>
  <c r="I130" i="1"/>
  <c r="I81" i="1" s="1"/>
  <c r="M96" i="1"/>
  <c r="M65" i="1"/>
  <c r="L65" i="1"/>
  <c r="I8" i="4"/>
  <c r="H9" i="5" s="1"/>
  <c r="H3" i="5" s="1"/>
  <c r="I55" i="1"/>
  <c r="I40" i="1"/>
  <c r="J59" i="4"/>
  <c r="M91" i="1"/>
  <c r="G125" i="1"/>
  <c r="G97" i="1" s="1"/>
  <c r="G60" i="4" s="1"/>
  <c r="J47" i="4"/>
  <c r="K71" i="1"/>
  <c r="F143" i="1"/>
  <c r="G134" i="1" s="1"/>
  <c r="I57" i="4" l="1"/>
  <c r="H15" i="5" s="1"/>
  <c r="I66" i="4"/>
  <c r="L66" i="4"/>
  <c r="K66" i="4"/>
  <c r="J66" i="4"/>
  <c r="I4" i="5"/>
  <c r="H10" i="5"/>
  <c r="G143" i="1"/>
  <c r="H134" i="1" s="1"/>
  <c r="I36" i="4"/>
  <c r="I38" i="4" s="1"/>
  <c r="I123" i="1"/>
  <c r="I60" i="1"/>
  <c r="L46" i="4"/>
  <c r="M70" i="1"/>
  <c r="E17" i="4"/>
  <c r="E33" i="1"/>
  <c r="E11" i="1"/>
  <c r="K47" i="4"/>
  <c r="L71" i="1"/>
  <c r="K31" i="4"/>
  <c r="K7" i="4"/>
  <c r="J8" i="5" s="1"/>
  <c r="K23" i="1"/>
  <c r="K10" i="4" s="1"/>
  <c r="J12" i="5" s="1"/>
  <c r="K39" i="1"/>
  <c r="K21" i="1"/>
  <c r="L20" i="1"/>
  <c r="L41" i="1"/>
  <c r="F17" i="4"/>
  <c r="F33" i="1"/>
  <c r="F11" i="1"/>
  <c r="M47" i="1"/>
  <c r="M30" i="4" s="1"/>
  <c r="H98" i="1"/>
  <c r="H113" i="1" s="1"/>
  <c r="H56" i="4"/>
  <c r="I12" i="4"/>
  <c r="J24" i="4"/>
  <c r="J121" i="1"/>
  <c r="G19" i="4"/>
  <c r="G80" i="1"/>
  <c r="L62" i="1"/>
  <c r="K40" i="4"/>
  <c r="I25" i="4"/>
  <c r="I122" i="1"/>
  <c r="I131" i="1"/>
  <c r="J128" i="1" s="1"/>
  <c r="K58" i="4"/>
  <c r="L83" i="1"/>
  <c r="L31" i="4"/>
  <c r="D19" i="4"/>
  <c r="D80" i="1"/>
  <c r="K37" i="4"/>
  <c r="L56" i="1"/>
  <c r="J9" i="4"/>
  <c r="J26" i="1"/>
  <c r="J31" i="1" s="1"/>
  <c r="J8" i="4"/>
  <c r="I9" i="5" s="1"/>
  <c r="I3" i="5" s="1"/>
  <c r="J40" i="1"/>
  <c r="J55" i="1"/>
  <c r="L114" i="1"/>
  <c r="L69" i="4" s="1"/>
  <c r="L92" i="1"/>
  <c r="M92" i="1" s="1"/>
  <c r="M59" i="4" s="1"/>
  <c r="M31" i="4" l="1"/>
  <c r="H32" i="5"/>
  <c r="H6" i="5"/>
  <c r="J4" i="5"/>
  <c r="I124" i="1"/>
  <c r="I125" i="1" s="1"/>
  <c r="I97" i="1" s="1"/>
  <c r="H13" i="5"/>
  <c r="H16" i="5"/>
  <c r="H29" i="5" s="1"/>
  <c r="I10" i="5"/>
  <c r="J25" i="4"/>
  <c r="J122" i="1"/>
  <c r="L37" i="4"/>
  <c r="M56" i="1"/>
  <c r="M37" i="4" s="1"/>
  <c r="L40" i="4"/>
  <c r="M62" i="1"/>
  <c r="M40" i="4" s="1"/>
  <c r="L7" i="4"/>
  <c r="K8" i="5" s="1"/>
  <c r="L39" i="1"/>
  <c r="L23" i="1"/>
  <c r="L10" i="4" s="1"/>
  <c r="K12" i="5" s="1"/>
  <c r="M20" i="1"/>
  <c r="L21" i="1"/>
  <c r="L22" i="1" s="1"/>
  <c r="D56" i="4"/>
  <c r="D98" i="1"/>
  <c r="D113" i="1" s="1"/>
  <c r="H68" i="4"/>
  <c r="H115" i="1"/>
  <c r="K8" i="4"/>
  <c r="J9" i="5" s="1"/>
  <c r="J3" i="5" s="1"/>
  <c r="K40" i="1"/>
  <c r="K55" i="1"/>
  <c r="J12" i="4"/>
  <c r="F147" i="1"/>
  <c r="F148" i="1"/>
  <c r="G56" i="4"/>
  <c r="G98" i="1"/>
  <c r="G113" i="1" s="1"/>
  <c r="K22" i="1"/>
  <c r="K26" i="1" s="1"/>
  <c r="M114" i="1"/>
  <c r="M69" i="4" s="1"/>
  <c r="M46" i="4"/>
  <c r="E19" i="4"/>
  <c r="E80" i="1"/>
  <c r="G148" i="1"/>
  <c r="G147" i="1"/>
  <c r="L58" i="4"/>
  <c r="M83" i="1"/>
  <c r="M58" i="4" s="1"/>
  <c r="F19" i="4"/>
  <c r="F80" i="1"/>
  <c r="L47" i="4"/>
  <c r="M71" i="1"/>
  <c r="M47" i="4" s="1"/>
  <c r="J36" i="4"/>
  <c r="J38" i="4" s="1"/>
  <c r="J60" i="1"/>
  <c r="J123" i="1"/>
  <c r="J130" i="1"/>
  <c r="J81" i="1" s="1"/>
  <c r="L59" i="4"/>
  <c r="L26" i="4"/>
  <c r="M41" i="1"/>
  <c r="M26" i="4" s="1"/>
  <c r="K24" i="4"/>
  <c r="K121" i="1"/>
  <c r="H143" i="1"/>
  <c r="I134" i="1" s="1"/>
  <c r="I143" i="1" s="1"/>
  <c r="J124" i="1" l="1"/>
  <c r="J125" i="1" s="1"/>
  <c r="J57" i="4"/>
  <c r="I15" i="5" s="1"/>
  <c r="I13" i="5" s="1"/>
  <c r="H34" i="5"/>
  <c r="K4" i="5"/>
  <c r="I16" i="5"/>
  <c r="I29" i="5" s="1"/>
  <c r="I31" i="5" s="1"/>
  <c r="I60" i="4"/>
  <c r="J10" i="5"/>
  <c r="L9" i="4"/>
  <c r="L26" i="1"/>
  <c r="E56" i="4"/>
  <c r="E98" i="1"/>
  <c r="E113" i="1" s="1"/>
  <c r="K25" i="4"/>
  <c r="K122" i="1"/>
  <c r="K9" i="4"/>
  <c r="J131" i="1"/>
  <c r="K128" i="1" s="1"/>
  <c r="H70" i="4"/>
  <c r="H71" i="4" s="1"/>
  <c r="H116" i="1"/>
  <c r="J17" i="4"/>
  <c r="J32" i="1"/>
  <c r="J33" i="1" s="1"/>
  <c r="D68" i="4"/>
  <c r="D115" i="1"/>
  <c r="M7" i="4"/>
  <c r="L8" i="5" s="1"/>
  <c r="M21" i="1"/>
  <c r="M22" i="1" s="1"/>
  <c r="M39" i="1"/>
  <c r="M23" i="1"/>
  <c r="M10" i="4" s="1"/>
  <c r="L12" i="5" s="1"/>
  <c r="F56" i="4"/>
  <c r="F98" i="1"/>
  <c r="F113" i="1" s="1"/>
  <c r="J134" i="1"/>
  <c r="I63" i="1"/>
  <c r="G68" i="4"/>
  <c r="G115" i="1"/>
  <c r="K36" i="4"/>
  <c r="K38" i="4" s="1"/>
  <c r="K123" i="1"/>
  <c r="K60" i="1"/>
  <c r="L8" i="4"/>
  <c r="K9" i="5" s="1"/>
  <c r="K3" i="5" s="1"/>
  <c r="L55" i="1"/>
  <c r="L40" i="1"/>
  <c r="L121" i="1"/>
  <c r="L24" i="4"/>
  <c r="I34" i="5" l="1"/>
  <c r="J97" i="1"/>
  <c r="J60" i="4" s="1"/>
  <c r="I32" i="5"/>
  <c r="I6" i="5"/>
  <c r="K124" i="1"/>
  <c r="K125" i="1" s="1"/>
  <c r="K97" i="1" s="1"/>
  <c r="J16" i="5"/>
  <c r="J29" i="5" s="1"/>
  <c r="M12" i="5"/>
  <c r="L4" i="5"/>
  <c r="M8" i="5"/>
  <c r="K10" i="5"/>
  <c r="L36" i="4"/>
  <c r="L38" i="4" s="1"/>
  <c r="L123" i="1"/>
  <c r="L60" i="1"/>
  <c r="D70" i="4"/>
  <c r="D71" i="4" s="1"/>
  <c r="D116" i="1"/>
  <c r="P14" i="1" s="1"/>
  <c r="M24" i="4"/>
  <c r="M121" i="1"/>
  <c r="J143" i="1"/>
  <c r="M8" i="4"/>
  <c r="L9" i="5" s="1"/>
  <c r="L10" i="5" s="1"/>
  <c r="M55" i="1"/>
  <c r="M40" i="1"/>
  <c r="H148" i="1"/>
  <c r="H147" i="1"/>
  <c r="L12" i="4"/>
  <c r="M9" i="4"/>
  <c r="M26" i="1"/>
  <c r="K130" i="1"/>
  <c r="K81" i="1" s="1"/>
  <c r="I39" i="4"/>
  <c r="I41" i="4" s="1"/>
  <c r="I66" i="1"/>
  <c r="K12" i="4"/>
  <c r="K31" i="1"/>
  <c r="E68" i="4"/>
  <c r="E115" i="1"/>
  <c r="L25" i="4"/>
  <c r="L122" i="1"/>
  <c r="G70" i="4"/>
  <c r="G71" i="4" s="1"/>
  <c r="G116" i="1"/>
  <c r="F68" i="4"/>
  <c r="F115" i="1"/>
  <c r="L124" i="1" l="1"/>
  <c r="L125" i="1" s="1"/>
  <c r="K34" i="5" s="1"/>
  <c r="I35" i="5"/>
  <c r="I42" i="5" s="1"/>
  <c r="I47" i="5" s="1"/>
  <c r="I49" i="5" s="1"/>
  <c r="K131" i="1"/>
  <c r="L128" i="1" s="1"/>
  <c r="L130" i="1" s="1"/>
  <c r="L81" i="1" s="1"/>
  <c r="K57" i="4"/>
  <c r="J15" i="5" s="1"/>
  <c r="J34" i="5"/>
  <c r="J80" i="1"/>
  <c r="J19" i="4"/>
  <c r="M9" i="5"/>
  <c r="M10" i="5" s="1"/>
  <c r="L3" i="5"/>
  <c r="K16" i="5"/>
  <c r="K29" i="5" s="1"/>
  <c r="K31" i="5" s="1"/>
  <c r="L16" i="5"/>
  <c r="L29" i="5" s="1"/>
  <c r="L31" i="5" s="1"/>
  <c r="K60" i="4"/>
  <c r="K134" i="1"/>
  <c r="J63" i="1"/>
  <c r="E70" i="4"/>
  <c r="E71" i="4" s="1"/>
  <c r="E116" i="1"/>
  <c r="P15" i="1" s="1"/>
  <c r="F70" i="4"/>
  <c r="F71" i="4" s="1"/>
  <c r="F116" i="1"/>
  <c r="M12" i="4"/>
  <c r="M25" i="4"/>
  <c r="M122" i="1"/>
  <c r="M36" i="4"/>
  <c r="M38" i="4" s="1"/>
  <c r="M123" i="1"/>
  <c r="M60" i="1"/>
  <c r="K17" i="4"/>
  <c r="K32" i="1"/>
  <c r="L97" i="1" l="1"/>
  <c r="L60" i="4" s="1"/>
  <c r="L57" i="4"/>
  <c r="K15" i="5" s="1"/>
  <c r="J32" i="5"/>
  <c r="J6" i="5"/>
  <c r="J13" i="5"/>
  <c r="J56" i="4"/>
  <c r="J98" i="1"/>
  <c r="J113" i="1" s="1"/>
  <c r="M124" i="1"/>
  <c r="M125" i="1" s="1"/>
  <c r="M97" i="1" s="1"/>
  <c r="K18" i="4"/>
  <c r="J19" i="5" s="1"/>
  <c r="J30" i="5" s="1"/>
  <c r="J31" i="5" s="1"/>
  <c r="M16" i="5"/>
  <c r="J147" i="1"/>
  <c r="J148" i="1"/>
  <c r="L131" i="1"/>
  <c r="M128" i="1" s="1"/>
  <c r="J39" i="4"/>
  <c r="J41" i="4" s="1"/>
  <c r="J66" i="1"/>
  <c r="K33" i="1"/>
  <c r="K143" i="1"/>
  <c r="J35" i="5" l="1"/>
  <c r="J42" i="5" s="1"/>
  <c r="J47" i="5" s="1"/>
  <c r="J49" i="5" s="1"/>
  <c r="K32" i="5"/>
  <c r="K35" i="5" s="1"/>
  <c r="K42" i="5" s="1"/>
  <c r="K47" i="5" s="1"/>
  <c r="K49" i="5" s="1"/>
  <c r="K6" i="5"/>
  <c r="K13" i="5"/>
  <c r="J115" i="1"/>
  <c r="J68" i="4"/>
  <c r="L34" i="5"/>
  <c r="M19" i="5"/>
  <c r="M30" i="5" s="1"/>
  <c r="M29" i="5"/>
  <c r="M60" i="4"/>
  <c r="K147" i="1"/>
  <c r="K148" i="1"/>
  <c r="K19" i="4"/>
  <c r="K80" i="1"/>
  <c r="L134" i="1"/>
  <c r="L143" i="1" s="1"/>
  <c r="K63" i="1"/>
  <c r="M130" i="1"/>
  <c r="M81" i="1" s="1"/>
  <c r="J144" i="1"/>
  <c r="M57" i="4" l="1"/>
  <c r="L15" i="5" s="1"/>
  <c r="M131" i="1"/>
  <c r="J37" i="1"/>
  <c r="J44" i="1" s="1"/>
  <c r="J52" i="1" s="1"/>
  <c r="J70" i="4"/>
  <c r="K144" i="1"/>
  <c r="M31" i="5"/>
  <c r="K56" i="4"/>
  <c r="K98" i="1"/>
  <c r="K113" i="1" s="1"/>
  <c r="K39" i="4"/>
  <c r="K41" i="4" s="1"/>
  <c r="K66" i="1"/>
  <c r="L63" i="1"/>
  <c r="M134" i="1"/>
  <c r="L32" i="5" l="1"/>
  <c r="L35" i="5" s="1"/>
  <c r="L42" i="5" s="1"/>
  <c r="L47" i="5" s="1"/>
  <c r="L49" i="5" s="1"/>
  <c r="M15" i="5"/>
  <c r="L6" i="5"/>
  <c r="L13" i="5"/>
  <c r="J116" i="1"/>
  <c r="L39" i="4"/>
  <c r="L41" i="4" s="1"/>
  <c r="L66" i="1"/>
  <c r="K68" i="4"/>
  <c r="K115" i="1"/>
  <c r="M32" i="5" l="1"/>
  <c r="M35" i="5" s="1"/>
  <c r="M42" i="5" s="1"/>
  <c r="M47" i="5" s="1"/>
  <c r="M13" i="5"/>
  <c r="M43" i="5" s="1"/>
  <c r="M48" i="5" s="1"/>
  <c r="H54" i="5" s="1"/>
  <c r="K70" i="4"/>
  <c r="K37" i="1"/>
  <c r="K44" i="1" s="1"/>
  <c r="K52" i="1" s="1"/>
  <c r="M49" i="5" l="1"/>
  <c r="K116" i="1"/>
  <c r="H47" i="5" l="1"/>
  <c r="H49" i="5" l="1"/>
  <c r="H53" i="5"/>
  <c r="H55" i="5" s="1"/>
  <c r="H59" i="5" s="1"/>
  <c r="H61" i="5" s="1"/>
  <c r="M53" i="5" s="1"/>
  <c r="M55" i="5" s="1"/>
  <c r="L148" i="1"/>
  <c r="I148" i="1"/>
  <c r="M148" i="1"/>
  <c r="M147" i="1"/>
  <c r="L147" i="1"/>
  <c r="I147" i="1"/>
  <c r="L144" i="1" l="1"/>
  <c r="L29" i="1" s="1"/>
  <c r="L31" i="1" s="1"/>
  <c r="I144" i="1"/>
  <c r="I29" i="1" s="1"/>
  <c r="I31" i="1" s="1"/>
  <c r="I32" i="1" s="1"/>
  <c r="M144" i="1"/>
  <c r="M29" i="1" s="1"/>
  <c r="M15" i="4" s="1"/>
  <c r="I15" i="4" l="1"/>
  <c r="L15" i="4"/>
  <c r="I17" i="4"/>
  <c r="M31" i="1"/>
  <c r="M17" i="4" s="1"/>
  <c r="I18" i="4"/>
  <c r="H19" i="5" s="1"/>
  <c r="H30" i="5" s="1"/>
  <c r="H31" i="5" s="1"/>
  <c r="H35" i="5" s="1"/>
  <c r="L32" i="1"/>
  <c r="L17" i="4"/>
  <c r="I33" i="1"/>
  <c r="M32" i="1" l="1"/>
  <c r="L33" i="1"/>
  <c r="L19" i="4" s="1"/>
  <c r="I19" i="4"/>
  <c r="I80" i="1"/>
  <c r="I72" i="1"/>
  <c r="M33" i="1" l="1"/>
  <c r="L80" i="1"/>
  <c r="I48" i="4"/>
  <c r="I74" i="1"/>
  <c r="J72" i="1"/>
  <c r="I56" i="4"/>
  <c r="I98" i="1"/>
  <c r="I113" i="1" s="1"/>
  <c r="M19" i="4" l="1"/>
  <c r="M80" i="1"/>
  <c r="M56" i="4" s="1"/>
  <c r="L98" i="1"/>
  <c r="L113" i="1" s="1"/>
  <c r="L115" i="1" s="1"/>
  <c r="L56" i="4"/>
  <c r="I68" i="4"/>
  <c r="I115" i="1"/>
  <c r="J48" i="4"/>
  <c r="J74" i="1"/>
  <c r="K72" i="1"/>
  <c r="I50" i="4"/>
  <c r="I51" i="4" s="1"/>
  <c r="I23" i="4" s="1"/>
  <c r="I27" i="4" s="1"/>
  <c r="I32" i="4" s="1"/>
  <c r="I52" i="4" s="1"/>
  <c r="I75" i="1"/>
  <c r="L68" i="4" l="1"/>
  <c r="M98" i="1"/>
  <c r="K74" i="1"/>
  <c r="L72" i="1"/>
  <c r="K48" i="4"/>
  <c r="I70" i="4"/>
  <c r="I71" i="4" s="1"/>
  <c r="I37" i="1"/>
  <c r="I44" i="1" s="1"/>
  <c r="I52" i="1" s="1"/>
  <c r="I76" i="1" s="1"/>
  <c r="L37" i="1"/>
  <c r="L44" i="1" s="1"/>
  <c r="L52" i="1" s="1"/>
  <c r="L70" i="4"/>
  <c r="J75" i="1"/>
  <c r="J76" i="1" s="1"/>
  <c r="J50" i="4"/>
  <c r="J51" i="4" s="1"/>
  <c r="J23" i="4" s="1"/>
  <c r="I116" i="1" l="1"/>
  <c r="J71" i="4"/>
  <c r="J27" i="4"/>
  <c r="J32" i="4" s="1"/>
  <c r="J52" i="4" s="1"/>
  <c r="L116" i="1"/>
  <c r="M72" i="1"/>
  <c r="L48" i="4"/>
  <c r="L74" i="1"/>
  <c r="K75" i="1"/>
  <c r="K76" i="1" s="1"/>
  <c r="K50" i="4"/>
  <c r="K51" i="4" s="1"/>
  <c r="K23" i="4" s="1"/>
  <c r="K27" i="4" l="1"/>
  <c r="K32" i="4" s="1"/>
  <c r="K52" i="4" s="1"/>
  <c r="K71" i="4"/>
  <c r="M74" i="1"/>
  <c r="M48" i="4"/>
  <c r="L50" i="4"/>
  <c r="L51" i="4" s="1"/>
  <c r="L23" i="4" s="1"/>
  <c r="L75" i="1"/>
  <c r="L76" i="1" s="1"/>
  <c r="M50" i="4" l="1"/>
  <c r="L27" i="4"/>
  <c r="L32" i="4" s="1"/>
  <c r="L52" i="4" s="1"/>
  <c r="L71" i="4"/>
  <c r="M106" i="1"/>
  <c r="M136" i="1"/>
  <c r="M143" i="1" s="1"/>
  <c r="M63" i="1" s="1"/>
  <c r="M105" i="1" l="1"/>
  <c r="M111" i="1" s="1"/>
  <c r="M113" i="1" s="1"/>
  <c r="M39" i="4"/>
  <c r="M41" i="4" s="1"/>
  <c r="M51" i="4" s="1"/>
  <c r="M23" i="4" s="1"/>
  <c r="M27" i="4" s="1"/>
  <c r="M32" i="4" s="1"/>
  <c r="M52" i="4" s="1"/>
  <c r="M66" i="1"/>
  <c r="M75" i="1" s="1"/>
  <c r="M64" i="4" l="1"/>
  <c r="M66" i="4"/>
  <c r="M68" i="4" l="1"/>
  <c r="M115" i="1"/>
  <c r="M70" i="4" l="1"/>
  <c r="M71" i="4" s="1"/>
  <c r="M37" i="1"/>
  <c r="M44" i="1" s="1"/>
  <c r="M52" i="1" s="1"/>
  <c r="M76" i="1" s="1"/>
  <c r="M116" i="1" l="1"/>
</calcChain>
</file>

<file path=xl/sharedStrings.xml><?xml version="1.0" encoding="utf-8"?>
<sst xmlns="http://schemas.openxmlformats.org/spreadsheetml/2006/main" count="319" uniqueCount="255">
  <si>
    <t>Crocs, Inc. — Full Historical Three-Statement Model</t>
  </si>
  <si>
    <t>USD $000s, except per share data; historical periods sourced from Crocs 10-Ks.</t>
  </si>
  <si>
    <t>Fiscal Year Ended Dec 31</t>
  </si>
  <si>
    <t>Source / notes</t>
  </si>
  <si>
    <t>Key Assumptions</t>
  </si>
  <si>
    <t>2021: Crocs FY2021 10-K; 2022-2023: Crocs FY2023 10-K; 2024-2025: Crocs FY2025 10-K.</t>
  </si>
  <si>
    <t>Revenue Growth (% Change)</t>
  </si>
  <si>
    <t>Cost of Goods Sold (% of Revenue)</t>
  </si>
  <si>
    <t>SGA (% of Revenue)</t>
  </si>
  <si>
    <t>Key checks</t>
  </si>
  <si>
    <t>Depreciation &amp; Amortization (% of PP&amp;E)</t>
  </si>
  <si>
    <t>2021 BS check</t>
  </si>
  <si>
    <t>Interest (% of Debt)</t>
  </si>
  <si>
    <t>2022 BS check</t>
  </si>
  <si>
    <t>Tax Rate (% of Earnings Before Tax)</t>
  </si>
  <si>
    <t>2023 BS check</t>
  </si>
  <si>
    <t>Accounts Receivable (Days)</t>
  </si>
  <si>
    <t>2024 BS check</t>
  </si>
  <si>
    <t>Inventory (Days)</t>
  </si>
  <si>
    <t>2025 BS check</t>
  </si>
  <si>
    <t>Accounts Payable (Days)</t>
  </si>
  <si>
    <t>2021 cash tie</t>
  </si>
  <si>
    <t>Capital Expenditures ($000's)</t>
  </si>
  <si>
    <t>2022 cash tie</t>
  </si>
  <si>
    <t>Equity Issued (Repaid) ($000's)</t>
  </si>
  <si>
    <t>Days in Period</t>
  </si>
  <si>
    <t>Income Statement</t>
  </si>
  <si>
    <t>Revenues</t>
  </si>
  <si>
    <t>Cost of sales</t>
  </si>
  <si>
    <t>Gross profit</t>
  </si>
  <si>
    <t>Selling, general and administrative expenses</t>
  </si>
  <si>
    <t>Goodwill impairment</t>
  </si>
  <si>
    <t>Asset impairments</t>
  </si>
  <si>
    <t>Income from operations</t>
  </si>
  <si>
    <t>Foreign currency gains (losses), net</t>
  </si>
  <si>
    <t>Interest income</t>
  </si>
  <si>
    <t>Interest expense</t>
  </si>
  <si>
    <t>Other income (expense), net</t>
  </si>
  <si>
    <t>Income before income taxes</t>
  </si>
  <si>
    <t>Income tax expense (benefit)</t>
  </si>
  <si>
    <t>Net income (loss)</t>
  </si>
  <si>
    <t>Balance Sheet — Assets</t>
  </si>
  <si>
    <t>Cash and cash equivalents</t>
  </si>
  <si>
    <t>Restricted cash — current</t>
  </si>
  <si>
    <t>Accounts receivable, net</t>
  </si>
  <si>
    <t>Inventories</t>
  </si>
  <si>
    <t>Income taxes receivable</t>
  </si>
  <si>
    <t>Other receivables</t>
  </si>
  <si>
    <t>Prepaid expenses and other assets</t>
  </si>
  <si>
    <t>Total current assets</t>
  </si>
  <si>
    <t>Property and equipment, net</t>
  </si>
  <si>
    <t>Intangible assets, net</t>
  </si>
  <si>
    <t>Goodwill</t>
  </si>
  <si>
    <t>Deferred tax assets, net</t>
  </si>
  <si>
    <t>Restricted cash</t>
  </si>
  <si>
    <t>Right-of-use assets</t>
  </si>
  <si>
    <t>Other assets</t>
  </si>
  <si>
    <t>Total assets</t>
  </si>
  <si>
    <t>Balance Sheet — Liabilities</t>
  </si>
  <si>
    <t>Accounts payable</t>
  </si>
  <si>
    <t>Accrued expenses and other liabilities</t>
  </si>
  <si>
    <t>Income taxes payable</t>
  </si>
  <si>
    <t>Current borrowings</t>
  </si>
  <si>
    <t>Current operating lease liabilities</t>
  </si>
  <si>
    <t>Total current liabilities</t>
  </si>
  <si>
    <t>Deferred tax liabilities, net</t>
  </si>
  <si>
    <t>Long-term income taxes payable</t>
  </si>
  <si>
    <t>Long-term borrowings</t>
  </si>
  <si>
    <t>Long-term operating lease liabilities</t>
  </si>
  <si>
    <t>Other liabilities</t>
  </si>
  <si>
    <t>Total liabilities</t>
  </si>
  <si>
    <t>Balance Sheet — Stockholders’ Equity</t>
  </si>
  <si>
    <t>Common stock</t>
  </si>
  <si>
    <t>Treasury stock, at cost</t>
  </si>
  <si>
    <t>Additional paid-in capital</t>
  </si>
  <si>
    <t>Retained earnings</t>
  </si>
  <si>
    <t>Accumulated other comprehensive loss</t>
  </si>
  <si>
    <t>Total stockholders' equity</t>
  </si>
  <si>
    <t>Total liabilities and stockholders' equity</t>
  </si>
  <si>
    <t>Balance sheet check</t>
  </si>
  <si>
    <t>Cash Flow Statement</t>
  </si>
  <si>
    <t>Depreciation and amortization</t>
  </si>
  <si>
    <t>Loss on disposal of assets</t>
  </si>
  <si>
    <t>Operating lease cost</t>
  </si>
  <si>
    <t>Inventory donations</t>
  </si>
  <si>
    <t>Provision for (recovery of) doubtful accounts, net</t>
  </si>
  <si>
    <t>Share-based compensation</t>
  </si>
  <si>
    <t>Deferred taxes</t>
  </si>
  <si>
    <t>Other non-cash items</t>
  </si>
  <si>
    <t>Accounts receivable change</t>
  </si>
  <si>
    <t>Inventories change</t>
  </si>
  <si>
    <t>Prepaid expenses and other assets change</t>
  </si>
  <si>
    <t>Accounts payable change</t>
  </si>
  <si>
    <t>Accrued expenses and other liabilities change</t>
  </si>
  <si>
    <t>Right-of-use assets and operating lease liabilities change</t>
  </si>
  <si>
    <t>Income taxes change</t>
  </si>
  <si>
    <t xml:space="preserve">Less; Changes in Working Capital </t>
  </si>
  <si>
    <t>Cash provided by operating activities</t>
  </si>
  <si>
    <t>Purchases of property, equipment, and software</t>
  </si>
  <si>
    <t>Acquisition of HEYDUDE, net of cash acquired</t>
  </si>
  <si>
    <t>Proceeds from disposal of property and equipment</t>
  </si>
  <si>
    <t>Other investing activity</t>
  </si>
  <si>
    <t>Cash used in investing activities</t>
  </si>
  <si>
    <t>Proceeds from notes issuance</t>
  </si>
  <si>
    <t>Proceeds from bank borrowings</t>
  </si>
  <si>
    <t>Repayments of bank borrowings</t>
  </si>
  <si>
    <t>Deferred debt issuance costs</t>
  </si>
  <si>
    <t>Repurchases of common stock, incl. excise taxes paid</t>
  </si>
  <si>
    <t>Repurchases of common stock for tax withholding</t>
  </si>
  <si>
    <t>Other financing activity</t>
  </si>
  <si>
    <t>Cash provided by (used in) financing activities</t>
  </si>
  <si>
    <t>Effect of exchange rate changes on cash, cash equivalents and restricted cash</t>
  </si>
  <si>
    <t>Net change in cash, cash equivalents and restricted cash</t>
  </si>
  <si>
    <t>Cash, cash equivalents and restricted cash — beginning of year</t>
  </si>
  <si>
    <t>Cash, cash equivalents and restricted cash — end of year</t>
  </si>
  <si>
    <t>Cash / restricted cash cross-check</t>
  </si>
  <si>
    <t>Supporting Schedules</t>
  </si>
  <si>
    <t>Working Capital Schedule</t>
  </si>
  <si>
    <t>Accounts Receivable</t>
  </si>
  <si>
    <t>Inventory</t>
  </si>
  <si>
    <t>Accounts Payable</t>
  </si>
  <si>
    <t>Net Working Capital (NWC)</t>
  </si>
  <si>
    <t>Change in NWC</t>
  </si>
  <si>
    <t>Depreciation Schedule</t>
  </si>
  <si>
    <t>PPE Opening</t>
  </si>
  <si>
    <t>Plus Capex</t>
  </si>
  <si>
    <t>Less Depreciation</t>
  </si>
  <si>
    <t>PPE Closing</t>
  </si>
  <si>
    <t>Debt &amp; Interest Schedule</t>
  </si>
  <si>
    <t>Debt Opening</t>
  </si>
  <si>
    <t>New Notes Issued</t>
  </si>
  <si>
    <t>New Term Loan Drawn</t>
  </si>
  <si>
    <t xml:space="preserve">New Revolver Draws </t>
  </si>
  <si>
    <t>Outstanding from Notes</t>
  </si>
  <si>
    <t>Outstanding from Term Loan</t>
  </si>
  <si>
    <t>Outstanding from Revolving Credit Facility</t>
  </si>
  <si>
    <t>Less: Repayment of Term Loan (2bn)</t>
  </si>
  <si>
    <t>Less: Repayment of Revolving Credit Facility</t>
  </si>
  <si>
    <t>Debt Closing</t>
  </si>
  <si>
    <t>Interest Expense</t>
  </si>
  <si>
    <t>Less: Interest of Note B</t>
  </si>
  <si>
    <t>Less: Interest Term Loan</t>
  </si>
  <si>
    <t>Less: Interest Revolver</t>
  </si>
  <si>
    <t>Revenue</t>
  </si>
  <si>
    <t>Depreciation</t>
  </si>
  <si>
    <t>EBIT</t>
  </si>
  <si>
    <t>Check</t>
  </si>
  <si>
    <t>Source Notes</t>
  </si>
  <si>
    <t>Model sheet</t>
  </si>
  <si>
    <t>Source</t>
  </si>
  <si>
    <t>PDF section/page</t>
  </si>
  <si>
    <t>Purpose</t>
  </si>
  <si>
    <t>Full Historical Statements</t>
  </si>
  <si>
    <t>Crocs FY2021 10-K</t>
  </si>
  <si>
    <t>Consolidated Statements of Operations, Balance Sheets, Cash Flows / F-4, F-6, F-8</t>
  </si>
  <si>
    <t>2021 historical income statement, balance sheet and cash flow statement</t>
  </si>
  <si>
    <t>Crocs FY2023 10-K</t>
  </si>
  <si>
    <t>Consolidated Statements of Income, Balance Sheets, Cash Flows / F-4, F-6, F-8</t>
  </si>
  <si>
    <t>2022–2023 historical income statement, balance sheet and cash flow statement</t>
  </si>
  <si>
    <t>Crocs FY2025 10-K</t>
  </si>
  <si>
    <t>2024–2025 historical income statement, balance sheet and cash flow statement</t>
  </si>
  <si>
    <t>Crocs, Inc. — Simplified Three-Statement Model</t>
  </si>
  <si>
    <t>Model note</t>
  </si>
  <si>
    <t>USD $000s; historical and forecast data linked to Full Historical Statements. Forecast cash is used as a balancing line.</t>
  </si>
  <si>
    <t>Forecast cash is a balancing line</t>
  </si>
  <si>
    <t>This makes the balance sheet balance mechanically.</t>
  </si>
  <si>
    <t>Replace the balancing line with cash from the fully integrated cash flow statement once the schedules are final.</t>
  </si>
  <si>
    <t>Target</t>
  </si>
  <si>
    <t>0</t>
  </si>
  <si>
    <t>Cash flow reconciliation</t>
  </si>
  <si>
    <t>Other current assets</t>
  </si>
  <si>
    <t>Other non-current assets</t>
  </si>
  <si>
    <t>Other current liabilities</t>
  </si>
  <si>
    <t>Other non-current liabilities</t>
  </si>
  <si>
    <t>Balance Sheet — Stockholders' Equity</t>
  </si>
  <si>
    <t>Other non-cash adjustments</t>
  </si>
  <si>
    <t>Change in net working capital and other operating items</t>
  </si>
  <si>
    <t>Capital expenditures</t>
  </si>
  <si>
    <t>Other investing activities</t>
  </si>
  <si>
    <t>Net debt issuance / (repayment)</t>
  </si>
  <si>
    <t>Share repurchases and other financing</t>
  </si>
  <si>
    <t>Cash provided by / (used in) financing activities</t>
  </si>
  <si>
    <t>Effect of exchange rate changes</t>
  </si>
  <si>
    <t>Net change in cash</t>
  </si>
  <si>
    <t>Cash — beginning of year</t>
  </si>
  <si>
    <t>Cash — end of year</t>
  </si>
  <si>
    <t>Cash flow reconciliation check</t>
  </si>
  <si>
    <t xml:space="preserve">Unlevered Free Cash Flow </t>
  </si>
  <si>
    <t xml:space="preserve">EBITDA </t>
  </si>
  <si>
    <t>Revenue Growth</t>
  </si>
  <si>
    <t>COGS</t>
  </si>
  <si>
    <t xml:space="preserve">SG&amp;A </t>
  </si>
  <si>
    <t xml:space="preserve">Gross Profit </t>
  </si>
  <si>
    <t>Tax Depreciation</t>
  </si>
  <si>
    <t>Operating Profit</t>
  </si>
  <si>
    <t>Tax Rate</t>
  </si>
  <si>
    <t>Current Tax</t>
  </si>
  <si>
    <t>Current Taxes</t>
  </si>
  <si>
    <t>NOPAT</t>
  </si>
  <si>
    <t xml:space="preserve">D&amp;A </t>
  </si>
  <si>
    <t>Capital Expenditure</t>
  </si>
  <si>
    <t>Cash from Working Capital</t>
  </si>
  <si>
    <t>Year -2</t>
  </si>
  <si>
    <t xml:space="preserve">Year - 1 </t>
  </si>
  <si>
    <t>Year 0</t>
  </si>
  <si>
    <t>Year 1</t>
  </si>
  <si>
    <t>Year 2</t>
  </si>
  <si>
    <t>Year 3</t>
  </si>
  <si>
    <t>Year 4</t>
  </si>
  <si>
    <t>Year 5</t>
  </si>
  <si>
    <t>Term</t>
  </si>
  <si>
    <t>Unlevered Free Cash Flow</t>
  </si>
  <si>
    <t>EBITDA</t>
  </si>
  <si>
    <t>UNDISCOUNTED CASH FLOW</t>
  </si>
  <si>
    <t xml:space="preserve">Discrete Forecast </t>
  </si>
  <si>
    <t xml:space="preserve">Terminal Value </t>
  </si>
  <si>
    <t xml:space="preserve">Total Cash Flow </t>
  </si>
  <si>
    <t>ASSUMPTIONS</t>
  </si>
  <si>
    <t xml:space="preserve">Terminal Multiple </t>
  </si>
  <si>
    <t>Discount Rate</t>
  </si>
  <si>
    <t xml:space="preserve">ENTERPRISE VALUE </t>
  </si>
  <si>
    <t xml:space="preserve">PV of Discrete </t>
  </si>
  <si>
    <t xml:space="preserve">PV of Terminal </t>
  </si>
  <si>
    <t>Enterprise Value</t>
  </si>
  <si>
    <t>EQUITY VALUE</t>
  </si>
  <si>
    <t xml:space="preserve">Less: Net Debt </t>
  </si>
  <si>
    <t xml:space="preserve">Equity Value </t>
  </si>
  <si>
    <t>EQUITY VALUE PER SHARE</t>
  </si>
  <si>
    <t xml:space="preserve">Shares Outstanding </t>
  </si>
  <si>
    <t>(% of Revenue)</t>
  </si>
  <si>
    <t xml:space="preserve">Unlevered Free Cash Flow Schedule </t>
  </si>
  <si>
    <t xml:space="preserve">Discounted Cash Flow Schedule </t>
  </si>
  <si>
    <t>(000s)</t>
  </si>
  <si>
    <t>(USD)</t>
  </si>
  <si>
    <t>First Year of Forecast</t>
  </si>
  <si>
    <t>COST OF EQUITY</t>
  </si>
  <si>
    <r>
      <t xml:space="preserve">Risk-free rate </t>
    </r>
    <r>
      <rPr>
        <i/>
        <sz val="12"/>
        <color theme="1"/>
        <rFont val="Arial"/>
        <family val="2"/>
      </rPr>
      <t>(US 10y)</t>
    </r>
  </si>
  <si>
    <t>Beta</t>
  </si>
  <si>
    <t xml:space="preserve">Market risk premium </t>
  </si>
  <si>
    <t>CAPM</t>
  </si>
  <si>
    <t xml:space="preserve">AFTER-TAX COST OF DEBT </t>
  </si>
  <si>
    <t>Interest rate on debt</t>
  </si>
  <si>
    <t>Tax rate</t>
  </si>
  <si>
    <t>After-tax cost of debt</t>
  </si>
  <si>
    <t xml:space="preserve">MARKET VALUE OF EQUITY AND DEBT </t>
  </si>
  <si>
    <t>Market Value of Debt</t>
  </si>
  <si>
    <t xml:space="preserve">Market Value of Equity </t>
  </si>
  <si>
    <r>
      <t xml:space="preserve">Share price </t>
    </r>
    <r>
      <rPr>
        <i/>
        <sz val="12"/>
        <color theme="1"/>
        <rFont val="Arial"/>
        <family val="2"/>
      </rPr>
      <t>(13/07/26)</t>
    </r>
  </si>
  <si>
    <t xml:space="preserve">Interest Expense </t>
  </si>
  <si>
    <t>Current Cost of Debt</t>
  </si>
  <si>
    <t>Average Maturity</t>
  </si>
  <si>
    <t>Total Debt</t>
  </si>
  <si>
    <t>Weight</t>
  </si>
  <si>
    <t>Less: Interest of Note 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</si>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</sst>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[Red]\(#,##0\);\-"/>
    <numFmt numFmtId="166" formatCode="0.0%"/>
    <numFmt numFmtId="170" formatCode="_-* #,##0_-;\(#,##0\)_-;_-* &quot;-&quot;_-;_-@"/>
    <numFmt numFmtId="172" formatCode="_(* #,##0_);_(* \(#,##0\);_(* &quot;-&quot;??_);_(@_)"/>
  </numFmts>
  <fonts count="43" x14ac:knownFonts="1">
    <font>
      <sz val="12"/>
      <color theme="1"/>
      <name val="Calibri"/>
    </font>
    <font>
      <sz val="10"/>
      <name val="Arial"/>
      <family val="2"/>
    </font>
    <font>
      <b/>
      <sz val="14"/>
      <color rgb="FF1F4E78"/>
      <name val="Cambria"/>
      <family val="1"/>
    </font>
    <font>
      <i/>
      <sz val="11"/>
      <color rgb="FF666666"/>
      <name val="Cambria"/>
      <family val="1"/>
    </font>
    <font>
      <b/>
      <sz val="11"/>
      <color rgb="FFFFFFFF"/>
      <name val="Cambria"/>
      <family val="1"/>
    </font>
    <font>
      <sz val="11"/>
      <color rgb="FF666666"/>
      <name val="Cambria"/>
      <family val="1"/>
    </font>
    <font>
      <sz val="11"/>
      <color rgb="FF000000"/>
      <name val="Cambria"/>
      <family val="1"/>
    </font>
    <font>
      <sz val="11"/>
      <color rgb="FF0000FF"/>
      <name val="Cambria"/>
      <family val="1"/>
    </font>
    <font>
      <b/>
      <sz val="11"/>
      <name val="Cambria"/>
      <family val="1"/>
    </font>
    <font>
      <b/>
      <sz val="11"/>
      <color rgb="FF000000"/>
      <name val="Cambria"/>
      <family val="1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2"/>
      <color rgb="FF0000FF"/>
      <name val="Arial Narrow"/>
      <family val="2"/>
    </font>
    <font>
      <i/>
      <sz val="12"/>
      <color theme="1"/>
      <name val="Arial Narrow"/>
      <family val="2"/>
    </font>
    <font>
      <b/>
      <sz val="11"/>
      <color theme="1"/>
      <name val="Cambria"/>
      <family val="1"/>
    </font>
    <font>
      <b/>
      <sz val="14"/>
      <color rgb="FF3271D2"/>
      <name val="Open Sans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i/>
      <sz val="9"/>
      <color rgb="FF666666"/>
      <name val="Calibri"/>
      <family val="2"/>
    </font>
    <font>
      <b/>
      <sz val="12"/>
      <color rgb="FFFFFFFF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8000"/>
      <name val="Calibri"/>
      <family val="2"/>
    </font>
    <font>
      <b/>
      <sz val="12"/>
      <color rgb="FF008000"/>
      <name val="Calibri"/>
      <family val="2"/>
    </font>
    <font>
      <b/>
      <sz val="12"/>
      <color rgb="FF0000FF"/>
      <name val="Calibri"/>
      <family val="2"/>
    </font>
    <font>
      <sz val="8"/>
      <name val="Calibri"/>
      <family val="2"/>
    </font>
    <font>
      <i/>
      <sz val="10"/>
      <name val="Arial"/>
      <family val="2"/>
    </font>
    <font>
      <i/>
      <sz val="12"/>
      <color theme="1"/>
      <name val="Calibri"/>
      <family val="2"/>
    </font>
    <font>
      <i/>
      <sz val="12"/>
      <name val="Arial"/>
      <family val="2"/>
    </font>
    <font>
      <i/>
      <sz val="11"/>
      <name val="Arial"/>
      <family val="2"/>
    </font>
    <font>
      <i/>
      <sz val="11"/>
      <color theme="1"/>
      <name val="Calibri"/>
      <family val="2"/>
    </font>
    <font>
      <sz val="1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name val="Arial"/>
      <family val="2"/>
    </font>
    <font>
      <b/>
      <sz val="18"/>
      <color theme="1"/>
      <name val="Arial"/>
      <family val="2"/>
    </font>
    <font>
      <sz val="12"/>
      <color theme="0"/>
      <name val="Arial"/>
      <family val="2"/>
    </font>
    <font>
      <i/>
      <sz val="12"/>
      <color theme="1"/>
      <name val="Arial"/>
      <family val="2"/>
    </font>
    <font>
      <i/>
      <sz val="11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rgb="FFE7F2FF"/>
      </patternFill>
    </fill>
    <fill>
      <patternFill patternType="solid">
        <fgColor theme="9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2"/>
      </patternFill>
    </fill>
    <fill>
      <patternFill patternType="solid">
        <fgColor rgb="FF17365D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rgb="FF1F4E78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Border="0" applyAlignment="0" applyProtection="0"/>
    <xf numFmtId="9" fontId="1" fillId="0" borderId="0" applyBorder="0" applyAlignment="0" applyProtection="0"/>
  </cellStyleXfs>
  <cellXfs count="172">
    <xf numFmtId="0" fontId="0" fillId="0" borderId="0" xfId="0"/>
    <xf numFmtId="0" fontId="4" fillId="3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64" fontId="7" fillId="0" borderId="0" xfId="0" applyNumberFormat="1" applyFont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164" fontId="9" fillId="0" borderId="1" xfId="0" applyNumberFormat="1" applyFont="1" applyBorder="1" applyAlignment="1">
      <alignment horizontal="right" vertical="center"/>
    </xf>
    <xf numFmtId="164" fontId="0" fillId="0" borderId="0" xfId="0" applyNumberFormat="1" applyAlignment="1">
      <alignment horizontal="left" vertical="center"/>
    </xf>
    <xf numFmtId="164" fontId="6" fillId="0" borderId="0" xfId="0" applyNumberFormat="1" applyFont="1" applyAlignment="1">
      <alignment horizontal="right" vertical="center"/>
    </xf>
    <xf numFmtId="0" fontId="2" fillId="0" borderId="0" xfId="0" applyFont="1"/>
    <xf numFmtId="0" fontId="4" fillId="2" borderId="0" xfId="0" applyFont="1" applyFill="1"/>
    <xf numFmtId="0" fontId="0" fillId="0" borderId="0" xfId="0" applyAlignment="1">
      <alignment vertical="top" wrapText="1"/>
    </xf>
    <xf numFmtId="0" fontId="4" fillId="3" borderId="0" xfId="0" applyFont="1" applyFill="1" applyAlignment="1">
      <alignment vertical="center"/>
    </xf>
    <xf numFmtId="170" fontId="11" fillId="0" borderId="0" xfId="0" applyNumberFormat="1" applyFont="1"/>
    <xf numFmtId="170" fontId="12" fillId="0" borderId="0" xfId="0" applyNumberFormat="1" applyFont="1"/>
    <xf numFmtId="170" fontId="12" fillId="0" borderId="0" xfId="0" applyNumberFormat="1" applyFont="1" applyAlignment="1">
      <alignment horizontal="center"/>
    </xf>
    <xf numFmtId="170" fontId="13" fillId="0" borderId="0" xfId="0" applyNumberFormat="1" applyFont="1"/>
    <xf numFmtId="170" fontId="12" fillId="0" borderId="2" xfId="0" applyNumberFormat="1" applyFont="1" applyBorder="1"/>
    <xf numFmtId="170" fontId="11" fillId="0" borderId="2" xfId="0" applyNumberFormat="1" applyFont="1" applyBorder="1"/>
    <xf numFmtId="170" fontId="11" fillId="0" borderId="2" xfId="0" applyNumberFormat="1" applyFont="1" applyBorder="1" applyAlignment="1">
      <alignment horizontal="center"/>
    </xf>
    <xf numFmtId="166" fontId="12" fillId="0" borderId="2" xfId="0" applyNumberFormat="1" applyFont="1" applyBorder="1"/>
    <xf numFmtId="166" fontId="13" fillId="0" borderId="2" xfId="0" applyNumberFormat="1" applyFont="1" applyBorder="1"/>
    <xf numFmtId="166" fontId="12" fillId="0" borderId="0" xfId="0" applyNumberFormat="1" applyFont="1"/>
    <xf numFmtId="166" fontId="13" fillId="0" borderId="0" xfId="0" applyNumberFormat="1" applyFont="1"/>
    <xf numFmtId="9" fontId="12" fillId="0" borderId="0" xfId="2" applyFont="1"/>
    <xf numFmtId="170" fontId="14" fillId="0" borderId="0" xfId="0" applyNumberFormat="1" applyFont="1"/>
    <xf numFmtId="170" fontId="14" fillId="0" borderId="0" xfId="0" applyNumberFormat="1" applyFont="1" applyAlignment="1">
      <alignment horizontal="center"/>
    </xf>
    <xf numFmtId="9" fontId="13" fillId="0" borderId="0" xfId="0" applyNumberFormat="1" applyFont="1" applyAlignment="1">
      <alignment horizontal="center"/>
    </xf>
    <xf numFmtId="0" fontId="15" fillId="4" borderId="0" xfId="0" applyFont="1" applyFill="1" applyAlignment="1">
      <alignment vertical="center"/>
    </xf>
    <xf numFmtId="0" fontId="16" fillId="6" borderId="0" xfId="0" applyFont="1" applyFill="1" applyAlignment="1">
      <alignment vertical="center"/>
    </xf>
    <xf numFmtId="170" fontId="12" fillId="0" borderId="2" xfId="0" applyNumberFormat="1" applyFont="1" applyBorder="1" applyAlignment="1">
      <alignment horizontal="center"/>
    </xf>
    <xf numFmtId="0" fontId="17" fillId="0" borderId="0" xfId="0" applyFont="1"/>
    <xf numFmtId="3" fontId="0" fillId="0" borderId="0" xfId="0" applyNumberFormat="1"/>
    <xf numFmtId="0" fontId="6" fillId="5" borderId="0" xfId="0" applyFont="1" applyFill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170" fontId="12" fillId="7" borderId="0" xfId="0" applyNumberFormat="1" applyFont="1" applyFill="1"/>
    <xf numFmtId="9" fontId="1" fillId="0" borderId="0" xfId="2"/>
    <xf numFmtId="170" fontId="12" fillId="8" borderId="0" xfId="0" applyNumberFormat="1" applyFont="1" applyFill="1"/>
    <xf numFmtId="170" fontId="0" fillId="0" borderId="0" xfId="0" applyNumberFormat="1"/>
    <xf numFmtId="43" fontId="1" fillId="0" borderId="0" xfId="1" applyAlignment="1">
      <alignment horizontal="right" vertical="center"/>
    </xf>
    <xf numFmtId="10" fontId="1" fillId="0" borderId="0" xfId="2" applyNumberFormat="1"/>
    <xf numFmtId="164" fontId="0" fillId="0" borderId="0" xfId="0" applyNumberFormat="1"/>
    <xf numFmtId="170" fontId="12" fillId="9" borderId="2" xfId="0" applyNumberFormat="1" applyFont="1" applyFill="1" applyBorder="1"/>
    <xf numFmtId="170" fontId="12" fillId="9" borderId="0" xfId="0" applyNumberFormat="1" applyFont="1" applyFill="1"/>
    <xf numFmtId="0" fontId="0" fillId="0" borderId="3" xfId="0" applyBorder="1"/>
    <xf numFmtId="0" fontId="0" fillId="0" borderId="5" xfId="0" applyBorder="1"/>
    <xf numFmtId="0" fontId="20" fillId="10" borderId="0" xfId="0" applyFont="1" applyFill="1"/>
    <xf numFmtId="0" fontId="20" fillId="10" borderId="0" xfId="0" applyFont="1" applyFill="1" applyAlignment="1">
      <alignment horizontal="right"/>
    </xf>
    <xf numFmtId="0" fontId="21" fillId="0" borderId="2" xfId="0" applyFont="1" applyBorder="1"/>
    <xf numFmtId="0" fontId="0" fillId="0" borderId="0" xfId="0" applyAlignment="1">
      <alignment horizontal="left"/>
    </xf>
    <xf numFmtId="164" fontId="22" fillId="0" borderId="0" xfId="0" applyNumberFormat="1" applyFont="1" applyAlignment="1">
      <alignment horizontal="right"/>
    </xf>
    <xf numFmtId="164" fontId="23" fillId="0" borderId="2" xfId="0" applyNumberFormat="1" applyFont="1" applyBorder="1" applyAlignment="1">
      <alignment horizontal="right"/>
    </xf>
    <xf numFmtId="164" fontId="24" fillId="0" borderId="0" xfId="0" applyNumberFormat="1" applyFont="1" applyAlignment="1">
      <alignment horizontal="right"/>
    </xf>
    <xf numFmtId="164" fontId="25" fillId="0" borderId="2" xfId="0" applyNumberFormat="1" applyFont="1" applyBorder="1" applyAlignment="1">
      <alignment horizontal="right"/>
    </xf>
    <xf numFmtId="164" fontId="26" fillId="12" borderId="0" xfId="0" applyNumberFormat="1" applyFont="1" applyFill="1" applyAlignment="1">
      <alignment horizontal="right"/>
    </xf>
    <xf numFmtId="0" fontId="0" fillId="0" borderId="0" xfId="0" applyAlignment="1">
      <alignment wrapText="1"/>
    </xf>
    <xf numFmtId="0" fontId="4" fillId="3" borderId="0" xfId="0" applyFont="1" applyFill="1" applyAlignment="1">
      <alignment horizontal="left" vertical="center"/>
    </xf>
    <xf numFmtId="0" fontId="18" fillId="10" borderId="0" xfId="0" applyFont="1" applyFill="1" applyAlignment="1">
      <alignment horizontal="left"/>
    </xf>
    <xf numFmtId="0" fontId="18" fillId="10" borderId="0" xfId="0" applyFont="1" applyFill="1"/>
    <xf numFmtId="0" fontId="19" fillId="0" borderId="0" xfId="0" applyFont="1" applyAlignment="1">
      <alignment horizontal="left"/>
    </xf>
    <xf numFmtId="0" fontId="19" fillId="0" borderId="0" xfId="0" applyFont="1"/>
    <xf numFmtId="0" fontId="20" fillId="1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11" borderId="0" xfId="0" applyFill="1" applyAlignment="1">
      <alignment horizontal="left"/>
    </xf>
    <xf numFmtId="0" fontId="21" fillId="0" borderId="2" xfId="0" applyFont="1" applyBorder="1" applyAlignment="1">
      <alignment horizontal="left"/>
    </xf>
    <xf numFmtId="0" fontId="20" fillId="10" borderId="0" xfId="0" applyFont="1" applyFill="1"/>
    <xf numFmtId="0" fontId="0" fillId="0" borderId="0" xfId="0"/>
    <xf numFmtId="10" fontId="28" fillId="0" borderId="0" xfId="2" applyNumberFormat="1" applyFont="1"/>
    <xf numFmtId="0" fontId="29" fillId="0" borderId="0" xfId="0" applyFont="1"/>
    <xf numFmtId="10" fontId="30" fillId="0" borderId="14" xfId="2" applyNumberFormat="1" applyFont="1" applyBorder="1"/>
    <xf numFmtId="0" fontId="34" fillId="0" borderId="0" xfId="0" applyFont="1"/>
    <xf numFmtId="0" fontId="35" fillId="0" borderId="0" xfId="0" applyFont="1"/>
    <xf numFmtId="172" fontId="36" fillId="0" borderId="0" xfId="0" applyNumberFormat="1" applyFont="1"/>
    <xf numFmtId="172" fontId="36" fillId="0" borderId="5" xfId="0" applyNumberFormat="1" applyFont="1" applyBorder="1"/>
    <xf numFmtId="0" fontId="36" fillId="0" borderId="0" xfId="0" applyFont="1"/>
    <xf numFmtId="0" fontId="32" fillId="0" borderId="11" xfId="0" applyFont="1" applyBorder="1" applyAlignment="1">
      <alignment horizontal="right"/>
    </xf>
    <xf numFmtId="10" fontId="31" fillId="0" borderId="4" xfId="2" applyNumberFormat="1" applyFont="1" applyBorder="1" applyAlignment="1">
      <alignment horizontal="right"/>
    </xf>
    <xf numFmtId="10" fontId="31" fillId="0" borderId="12" xfId="2" applyNumberFormat="1" applyFont="1" applyBorder="1" applyAlignment="1">
      <alignment horizontal="right"/>
    </xf>
    <xf numFmtId="10" fontId="31" fillId="0" borderId="13" xfId="2" applyNumberFormat="1" applyFont="1" applyBorder="1" applyAlignment="1">
      <alignment horizontal="right"/>
    </xf>
    <xf numFmtId="10" fontId="31" fillId="0" borderId="3" xfId="2" applyNumberFormat="1" applyFont="1" applyBorder="1" applyAlignment="1">
      <alignment horizontal="right"/>
    </xf>
    <xf numFmtId="10" fontId="31" fillId="0" borderId="14" xfId="2" applyNumberFormat="1" applyFont="1" applyBorder="1" applyAlignment="1">
      <alignment horizontal="right"/>
    </xf>
    <xf numFmtId="10" fontId="31" fillId="0" borderId="15" xfId="2" applyNumberFormat="1" applyFont="1" applyBorder="1" applyAlignment="1">
      <alignment horizontal="right"/>
    </xf>
    <xf numFmtId="10" fontId="31" fillId="0" borderId="5" xfId="2" applyNumberFormat="1" applyFont="1" applyBorder="1" applyAlignment="1">
      <alignment horizontal="right"/>
    </xf>
    <xf numFmtId="10" fontId="31" fillId="0" borderId="16" xfId="2" applyNumberFormat="1" applyFont="1" applyBorder="1" applyAlignment="1">
      <alignment horizontal="right"/>
    </xf>
    <xf numFmtId="172" fontId="33" fillId="0" borderId="0" xfId="1" applyNumberFormat="1" applyFont="1" applyAlignment="1">
      <alignment horizontal="right"/>
    </xf>
    <xf numFmtId="172" fontId="36" fillId="0" borderId="0" xfId="0" applyNumberFormat="1" applyFont="1" applyAlignment="1">
      <alignment horizontal="right"/>
    </xf>
    <xf numFmtId="172" fontId="33" fillId="0" borderId="5" xfId="1" applyNumberFormat="1" applyFont="1" applyBorder="1" applyAlignment="1">
      <alignment horizontal="right"/>
    </xf>
    <xf numFmtId="172" fontId="36" fillId="0" borderId="5" xfId="0" applyNumberFormat="1" applyFont="1" applyBorder="1" applyAlignment="1">
      <alignment horizontal="right"/>
    </xf>
    <xf numFmtId="0" fontId="36" fillId="0" borderId="0" xfId="0" applyFont="1" applyAlignment="1">
      <alignment horizontal="right"/>
    </xf>
    <xf numFmtId="166" fontId="33" fillId="0" borderId="5" xfId="2" applyNumberFormat="1" applyFont="1" applyBorder="1" applyAlignment="1">
      <alignment horizontal="right"/>
    </xf>
    <xf numFmtId="172" fontId="37" fillId="0" borderId="0" xfId="0" applyNumberFormat="1" applyFont="1" applyAlignment="1">
      <alignment horizontal="right"/>
    </xf>
    <xf numFmtId="172" fontId="37" fillId="0" borderId="7" xfId="0" applyNumberFormat="1" applyFont="1" applyBorder="1" applyAlignment="1">
      <alignment horizontal="right"/>
    </xf>
    <xf numFmtId="0" fontId="36" fillId="0" borderId="5" xfId="0" applyFont="1" applyBorder="1" applyAlignment="1">
      <alignment horizontal="right"/>
    </xf>
    <xf numFmtId="10" fontId="31" fillId="0" borderId="17" xfId="2" applyNumberFormat="1" applyFont="1" applyBorder="1" applyAlignment="1">
      <alignment horizontal="right"/>
    </xf>
    <xf numFmtId="10" fontId="31" fillId="0" borderId="18" xfId="2" applyNumberFormat="1" applyFont="1" applyBorder="1" applyAlignment="1">
      <alignment horizontal="right"/>
    </xf>
    <xf numFmtId="10" fontId="31" fillId="0" borderId="19" xfId="2" applyNumberFormat="1" applyFont="1" applyBorder="1" applyAlignment="1">
      <alignment horizontal="right"/>
    </xf>
    <xf numFmtId="172" fontId="36" fillId="0" borderId="17" xfId="0" applyNumberFormat="1" applyFont="1" applyBorder="1" applyAlignment="1">
      <alignment horizontal="right"/>
    </xf>
    <xf numFmtId="172" fontId="36" fillId="0" borderId="19" xfId="0" applyNumberFormat="1" applyFont="1" applyBorder="1" applyAlignment="1">
      <alignment horizontal="right"/>
    </xf>
    <xf numFmtId="172" fontId="36" fillId="0" borderId="18" xfId="0" applyNumberFormat="1" applyFont="1" applyBorder="1" applyAlignment="1">
      <alignment horizontal="right"/>
    </xf>
    <xf numFmtId="0" fontId="36" fillId="0" borderId="18" xfId="0" applyFont="1" applyBorder="1" applyAlignment="1">
      <alignment horizontal="right"/>
    </xf>
    <xf numFmtId="0" fontId="37" fillId="0" borderId="8" xfId="0" applyFont="1" applyBorder="1" applyAlignment="1">
      <alignment horizontal="right"/>
    </xf>
    <xf numFmtId="0" fontId="37" fillId="0" borderId="7" xfId="0" applyFont="1" applyBorder="1" applyAlignment="1">
      <alignment horizontal="right"/>
    </xf>
    <xf numFmtId="172" fontId="37" fillId="0" borderId="18" xfId="0" applyNumberFormat="1" applyFont="1" applyBorder="1" applyAlignment="1">
      <alignment horizontal="right"/>
    </xf>
    <xf numFmtId="172" fontId="33" fillId="0" borderId="18" xfId="1" applyNumberFormat="1" applyFont="1" applyBorder="1" applyAlignment="1">
      <alignment horizontal="right"/>
    </xf>
    <xf numFmtId="172" fontId="33" fillId="0" borderId="19" xfId="1" applyNumberFormat="1" applyFont="1" applyBorder="1" applyAlignment="1">
      <alignment horizontal="right"/>
    </xf>
    <xf numFmtId="172" fontId="37" fillId="0" borderId="20" xfId="0" applyNumberFormat="1" applyFont="1" applyBorder="1" applyAlignment="1">
      <alignment horizontal="right"/>
    </xf>
    <xf numFmtId="0" fontId="36" fillId="0" borderId="3" xfId="0" applyFont="1" applyBorder="1" applyAlignment="1">
      <alignment horizontal="right"/>
    </xf>
    <xf numFmtId="0" fontId="0" fillId="13" borderId="3" xfId="0" applyFill="1" applyBorder="1"/>
    <xf numFmtId="0" fontId="36" fillId="13" borderId="3" xfId="0" applyFont="1" applyFill="1" applyBorder="1" applyAlignment="1">
      <alignment horizontal="right"/>
    </xf>
    <xf numFmtId="0" fontId="36" fillId="14" borderId="3" xfId="0" applyFont="1" applyFill="1" applyBorder="1" applyAlignment="1">
      <alignment horizontal="right"/>
    </xf>
    <xf numFmtId="0" fontId="0" fillId="14" borderId="0" xfId="0" applyFill="1"/>
    <xf numFmtId="0" fontId="34" fillId="0" borderId="0" xfId="0" applyFont="1" applyAlignment="1">
      <alignment horizontal="left" indent="2"/>
    </xf>
    <xf numFmtId="0" fontId="35" fillId="0" borderId="0" xfId="0" applyFont="1" applyAlignment="1">
      <alignment horizontal="left" indent="2"/>
    </xf>
    <xf numFmtId="0" fontId="39" fillId="13" borderId="3" xfId="0" applyFont="1" applyFill="1" applyBorder="1"/>
    <xf numFmtId="0" fontId="39" fillId="14" borderId="3" xfId="0" applyFont="1" applyFill="1" applyBorder="1"/>
    <xf numFmtId="0" fontId="34" fillId="14" borderId="3" xfId="0" applyFont="1" applyFill="1" applyBorder="1"/>
    <xf numFmtId="172" fontId="34" fillId="0" borderId="12" xfId="0" applyNumberFormat="1" applyFont="1" applyBorder="1"/>
    <xf numFmtId="172" fontId="34" fillId="0" borderId="16" xfId="0" applyNumberFormat="1" applyFont="1" applyBorder="1"/>
    <xf numFmtId="0" fontId="35" fillId="0" borderId="9" xfId="0" applyFont="1" applyBorder="1" applyAlignment="1">
      <alignment horizontal="left" indent="2"/>
    </xf>
    <xf numFmtId="0" fontId="35" fillId="0" borderId="6" xfId="0" applyFont="1" applyBorder="1"/>
    <xf numFmtId="0" fontId="40" fillId="0" borderId="0" xfId="0" applyFont="1"/>
    <xf numFmtId="172" fontId="36" fillId="0" borderId="11" xfId="0" applyNumberFormat="1" applyFont="1" applyBorder="1"/>
    <xf numFmtId="172" fontId="36" fillId="0" borderId="4" xfId="0" applyNumberFormat="1" applyFont="1" applyBorder="1"/>
    <xf numFmtId="172" fontId="36" fillId="0" borderId="12" xfId="0" applyNumberFormat="1" applyFont="1" applyBorder="1"/>
    <xf numFmtId="172" fontId="36" fillId="0" borderId="15" xfId="0" applyNumberFormat="1" applyFont="1" applyBorder="1"/>
    <xf numFmtId="172" fontId="36" fillId="0" borderId="16" xfId="0" applyNumberFormat="1" applyFont="1" applyBorder="1"/>
    <xf numFmtId="172" fontId="37" fillId="0" borderId="6" xfId="0" applyNumberFormat="1" applyFont="1" applyBorder="1"/>
    <xf numFmtId="172" fontId="37" fillId="0" borderId="10" xfId="0" applyNumberFormat="1" applyFont="1" applyBorder="1"/>
    <xf numFmtId="0" fontId="34" fillId="0" borderId="4" xfId="0" applyFont="1" applyBorder="1"/>
    <xf numFmtId="0" fontId="34" fillId="0" borderId="3" xfId="0" applyFont="1" applyBorder="1"/>
    <xf numFmtId="0" fontId="34" fillId="0" borderId="5" xfId="0" applyFont="1" applyBorder="1"/>
    <xf numFmtId="0" fontId="42" fillId="0" borderId="3" xfId="0" applyFont="1" applyBorder="1"/>
    <xf numFmtId="3" fontId="34" fillId="0" borderId="14" xfId="0" applyNumberFormat="1" applyFont="1" applyBorder="1"/>
    <xf numFmtId="0" fontId="42" fillId="0" borderId="5" xfId="0" applyFont="1" applyBorder="1"/>
    <xf numFmtId="43" fontId="34" fillId="0" borderId="16" xfId="0" applyNumberFormat="1" applyFont="1" applyBorder="1"/>
    <xf numFmtId="0" fontId="34" fillId="0" borderId="12" xfId="0" applyFont="1" applyBorder="1"/>
    <xf numFmtId="10" fontId="34" fillId="0" borderId="12" xfId="0" applyNumberFormat="1" applyFont="1" applyBorder="1"/>
    <xf numFmtId="0" fontId="34" fillId="0" borderId="14" xfId="0" applyFont="1" applyBorder="1"/>
    <xf numFmtId="10" fontId="34" fillId="0" borderId="14" xfId="0" applyNumberFormat="1" applyFont="1" applyBorder="1"/>
    <xf numFmtId="0" fontId="35" fillId="0" borderId="3" xfId="0" applyFont="1" applyFill="1" applyBorder="1"/>
    <xf numFmtId="10" fontId="34" fillId="0" borderId="10" xfId="0" applyNumberFormat="1" applyFont="1" applyBorder="1"/>
    <xf numFmtId="10" fontId="38" fillId="0" borderId="14" xfId="2" applyNumberFormat="1" applyFont="1" applyBorder="1"/>
    <xf numFmtId="10" fontId="0" fillId="0" borderId="16" xfId="0" applyNumberFormat="1" applyBorder="1"/>
    <xf numFmtId="172" fontId="38" fillId="0" borderId="12" xfId="1" applyNumberFormat="1" applyFont="1" applyBorder="1"/>
    <xf numFmtId="172" fontId="38" fillId="0" borderId="14" xfId="1" applyNumberFormat="1" applyFont="1" applyBorder="1"/>
    <xf numFmtId="43" fontId="38" fillId="0" borderId="16" xfId="1" applyFont="1" applyBorder="1"/>
    <xf numFmtId="43" fontId="38" fillId="0" borderId="14" xfId="1" applyNumberFormat="1" applyFont="1" applyBorder="1"/>
    <xf numFmtId="10" fontId="38" fillId="0" borderId="16" xfId="2" applyNumberFormat="1" applyFont="1" applyBorder="1"/>
    <xf numFmtId="0" fontId="41" fillId="0" borderId="15" xfId="0" applyFont="1" applyBorder="1" applyAlignment="1">
      <alignment horizontal="left" indent="2"/>
    </xf>
    <xf numFmtId="10" fontId="30" fillId="0" borderId="16" xfId="2" applyNumberFormat="1" applyFont="1" applyBorder="1" applyAlignment="1">
      <alignment horizontal="left" indent="4"/>
    </xf>
    <xf numFmtId="0" fontId="41" fillId="0" borderId="13" xfId="0" applyFont="1" applyBorder="1" applyAlignment="1">
      <alignment horizontal="left" indent="2"/>
    </xf>
    <xf numFmtId="0" fontId="34" fillId="0" borderId="11" xfId="0" applyFont="1" applyFill="1" applyBorder="1" applyAlignment="1">
      <alignment horizontal="left" indent="1"/>
    </xf>
    <xf numFmtId="0" fontId="34" fillId="0" borderId="13" xfId="0" applyFont="1" applyFill="1" applyBorder="1" applyAlignment="1">
      <alignment horizontal="left" indent="1"/>
    </xf>
    <xf numFmtId="0" fontId="34" fillId="0" borderId="13" xfId="0" applyFont="1" applyBorder="1" applyAlignment="1">
      <alignment horizontal="left" indent="1"/>
    </xf>
    <xf numFmtId="0" fontId="34" fillId="0" borderId="11" xfId="0" applyFont="1" applyBorder="1" applyAlignment="1">
      <alignment horizontal="left" indent="1"/>
    </xf>
    <xf numFmtId="0" fontId="34" fillId="0" borderId="15" xfId="0" applyFont="1" applyBorder="1" applyAlignment="1">
      <alignment horizontal="left" indent="1"/>
    </xf>
    <xf numFmtId="0" fontId="34" fillId="0" borderId="15" xfId="0" applyFont="1" applyFill="1" applyBorder="1" applyAlignment="1">
      <alignment horizontal="left" indent="1"/>
    </xf>
    <xf numFmtId="0" fontId="34" fillId="0" borderId="11" xfId="0" applyFont="1" applyBorder="1" applyAlignment="1">
      <alignment horizontal="left" indent="1"/>
    </xf>
    <xf numFmtId="0" fontId="34" fillId="0" borderId="4" xfId="0" applyFont="1" applyBorder="1" applyAlignment="1">
      <alignment horizontal="left" indent="1"/>
    </xf>
    <xf numFmtId="0" fontId="34" fillId="0" borderId="13" xfId="0" applyFont="1" applyBorder="1" applyAlignment="1">
      <alignment horizontal="left" indent="1"/>
    </xf>
    <xf numFmtId="0" fontId="34" fillId="0" borderId="3" xfId="0" applyFont="1" applyBorder="1" applyAlignment="1">
      <alignment horizontal="left" indent="1"/>
    </xf>
    <xf numFmtId="0" fontId="34" fillId="0" borderId="5" xfId="0" applyFont="1" applyBorder="1" applyAlignment="1">
      <alignment horizontal="left" indent="1"/>
    </xf>
    <xf numFmtId="172" fontId="38" fillId="0" borderId="12" xfId="1" applyNumberFormat="1" applyFont="1" applyBorder="1" applyAlignment="1">
      <alignment horizontal="center"/>
    </xf>
    <xf numFmtId="172" fontId="38" fillId="0" borderId="14" xfId="1" applyNumberFormat="1" applyFont="1" applyBorder="1" applyAlignment="1">
      <alignment horizontal="center"/>
    </xf>
    <xf numFmtId="172" fontId="34" fillId="0" borderId="10" xfId="0" applyNumberFormat="1" applyFont="1" applyBorder="1" applyAlignment="1">
      <alignment horizontal="center"/>
    </xf>
    <xf numFmtId="166" fontId="36" fillId="0" borderId="19" xfId="0" applyNumberFormat="1" applyFont="1" applyBorder="1" applyAlignment="1">
      <alignment horizontal="right"/>
    </xf>
    <xf numFmtId="170" fontId="10" fillId="8" borderId="0" xfId="0" applyNumberFormat="1" applyFont="1" applyFill="1"/>
  </cellXfs>
  <cellStyles count="3">
    <cellStyle name="Comma" xfId="1" xr:uid="{00000000-0005-0000-0000-000000000000}"/>
    <cellStyle name="Normal" xfId="0" builtinId="0"/>
    <cellStyle name="Per cent" xfId="2" xr:uid="{00000000-0005-0000-0000-000002000000}"/>
  </cellStyles>
  <dxfs count="2"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C3F"/>
      <rgbColor rgb="FF808000"/>
      <rgbColor rgb="FF800080"/>
      <rgbColor rgb="FF008080"/>
      <rgbColor rgb="FFC9C9C9"/>
      <rgbColor rgb="FF757575"/>
      <rgbColor rgb="FF9999FF"/>
      <rgbColor rgb="FF993366"/>
      <rgbColor rgb="FFFFFFCC"/>
      <rgbColor rgb="FFE7F2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271D2"/>
      <rgbColor rgb="FF33CCCC"/>
      <rgbColor rgb="FF99CC00"/>
      <rgbColor rgb="FFFFCC00"/>
      <rgbColor rgb="FFFF9900"/>
      <rgbColor rgb="FFED7D31"/>
      <rgbColor rgb="FF666666"/>
      <rgbColor rgb="FF8B8B8B"/>
      <rgbColor rgb="FF17365D"/>
      <rgbColor rgb="FF339966"/>
      <rgbColor rgb="FF003300"/>
      <rgbColor rgb="FF333300"/>
      <rgbColor rgb="FF993300"/>
      <rgbColor rgb="FF993366"/>
      <rgbColor rgb="FF1F4E78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W150"/>
  <sheetViews>
    <sheetView showGridLines="0" topLeftCell="A15" workbookViewId="0">
      <selection activeCell="I27" sqref="I27"/>
    </sheetView>
  </sheetViews>
  <sheetFormatPr baseColWidth="10" defaultColWidth="8.6640625" defaultRowHeight="16" x14ac:dyDescent="0.2"/>
  <cols>
    <col min="1" max="1" width="48" customWidth="1"/>
    <col min="2" max="3" width="3" customWidth="1"/>
    <col min="4" max="13" width="14" customWidth="1"/>
    <col min="14" max="14" width="9.33203125" customWidth="1"/>
    <col min="15" max="15" width="18.83203125" customWidth="1"/>
  </cols>
  <sheetData>
    <row r="1" spans="1:26 2021:2025" ht="17.25" customHeight="1" x14ac:dyDescent="0.2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26 2021:2025" ht="15" customHeight="1" x14ac:dyDescent="0.2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26 2021:2025" ht="1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26 2021:2025" ht="15" customHeight="1" x14ac:dyDescent="0.2">
      <c r="A4" s="5" t="s">
        <v>2</v>
      </c>
      <c r="B4" s="3"/>
      <c r="C4" s="3"/>
      <c r="D4" s="3"/>
      <c r="E4" s="3"/>
      <c r="F4" s="3"/>
      <c r="G4" s="3"/>
      <c r="H4" s="3"/>
      <c r="I4" s="3"/>
      <c r="K4" s="3"/>
      <c r="O4" s="5" t="s">
        <v>3</v>
      </c>
      <c r="BYS4" s="6">
        <v>4</v>
      </c>
      <c r="BYT4" s="6">
        <v>5</v>
      </c>
      <c r="BYU4" s="6">
        <v>6</v>
      </c>
      <c r="BYV4" s="6">
        <v>7</v>
      </c>
      <c r="BYW4" s="6">
        <v>8</v>
      </c>
    </row>
    <row r="5" spans="1:26 2021:2025" x14ac:dyDescent="0.2">
      <c r="A5" s="18" t="s">
        <v>4</v>
      </c>
      <c r="B5" s="19"/>
      <c r="C5" s="20"/>
      <c r="D5" s="17">
        <v>2021</v>
      </c>
      <c r="E5" s="17">
        <v>2022</v>
      </c>
      <c r="F5" s="17">
        <v>2023</v>
      </c>
      <c r="G5" s="17">
        <v>2024</v>
      </c>
      <c r="H5" s="17">
        <v>2025</v>
      </c>
      <c r="I5" s="33">
        <v>2026</v>
      </c>
      <c r="J5" s="33">
        <v>2027</v>
      </c>
      <c r="K5" s="33">
        <v>2028</v>
      </c>
      <c r="L5" s="33">
        <v>2029</v>
      </c>
      <c r="M5" s="33">
        <v>2030</v>
      </c>
      <c r="N5" s="19"/>
      <c r="O5" s="7" t="s">
        <v>5</v>
      </c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 2021:2025" x14ac:dyDescent="0.2">
      <c r="A6" s="47" t="s">
        <v>6</v>
      </c>
      <c r="B6" s="23"/>
      <c r="C6" s="24"/>
      <c r="D6" s="25"/>
      <c r="E6" s="25">
        <f>E20/D20-1</f>
        <v>0.53668211856406289</v>
      </c>
      <c r="F6" s="25">
        <f t="shared" ref="F6:H6" si="0">F20/E20-1</f>
        <v>0.11458895044564188</v>
      </c>
      <c r="G6" s="25">
        <f t="shared" si="0"/>
        <v>3.5272276759203525E-2</v>
      </c>
      <c r="H6" s="25">
        <f t="shared" si="0"/>
        <v>-1.4982784461062493E-2</v>
      </c>
      <c r="I6" s="26">
        <v>-6.0000000000000001E-3</v>
      </c>
      <c r="J6" s="26">
        <v>0.01</v>
      </c>
      <c r="K6" s="26">
        <v>0.02</v>
      </c>
      <c r="L6" s="26">
        <v>0.02</v>
      </c>
      <c r="M6" s="26">
        <v>0.03</v>
      </c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 2021:2025" x14ac:dyDescent="0.2">
      <c r="A7" s="48" t="s">
        <v>7</v>
      </c>
      <c r="B7" s="19"/>
      <c r="C7" s="20"/>
      <c r="D7" s="27">
        <f>D21/D20</f>
        <v>0.38609398396138006</v>
      </c>
      <c r="E7" s="27">
        <f t="shared" ref="E7:H7" si="1">E21/E20</f>
        <v>0.47671171608319024</v>
      </c>
      <c r="F7" s="27">
        <f t="shared" si="1"/>
        <v>0.44224723377331665</v>
      </c>
      <c r="G7" s="27">
        <f t="shared" si="1"/>
        <v>0.41243428988217767</v>
      </c>
      <c r="H7" s="27">
        <f t="shared" si="1"/>
        <v>0.41666396495412739</v>
      </c>
      <c r="I7" s="28">
        <v>0.42</v>
      </c>
      <c r="J7" s="28">
        <v>0.42</v>
      </c>
      <c r="K7" s="28">
        <v>0.43</v>
      </c>
      <c r="L7" s="28">
        <v>0.44</v>
      </c>
      <c r="M7" s="28">
        <v>0.45</v>
      </c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 2021:2025" x14ac:dyDescent="0.2">
      <c r="A8" s="48" t="s">
        <v>8</v>
      </c>
      <c r="B8" s="19"/>
      <c r="C8" s="20"/>
      <c r="D8" s="27">
        <f>D23/D20</f>
        <v>0.31864394471206214</v>
      </c>
      <c r="E8" s="27">
        <f t="shared" ref="E8:H8" si="2">E23/E20</f>
        <v>0.283974756574219</v>
      </c>
      <c r="F8" s="27">
        <f t="shared" si="2"/>
        <v>0.29375014353866535</v>
      </c>
      <c r="G8" s="27">
        <f t="shared" si="2"/>
        <v>0.33257656794994184</v>
      </c>
      <c r="H8" s="27">
        <f t="shared" si="2"/>
        <v>0.36366081966576147</v>
      </c>
      <c r="I8" s="28">
        <v>0.32</v>
      </c>
      <c r="J8" s="28">
        <v>0.33</v>
      </c>
      <c r="K8" s="28">
        <v>0.36</v>
      </c>
      <c r="L8" s="28">
        <v>0.36</v>
      </c>
      <c r="M8" s="28">
        <v>0.35</v>
      </c>
      <c r="N8" s="29"/>
      <c r="O8" s="1" t="s">
        <v>9</v>
      </c>
      <c r="P8" s="3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 2021:2025" x14ac:dyDescent="0.2">
      <c r="A9" s="48" t="s">
        <v>10</v>
      </c>
      <c r="B9" s="19"/>
      <c r="C9" s="20"/>
      <c r="D9" s="27">
        <f>D81/-D99</f>
        <v>0.57185778668002007</v>
      </c>
      <c r="E9" s="27">
        <f t="shared" ref="E9:H9" si="3">E81/-E99</f>
        <v>0.37651406085036954</v>
      </c>
      <c r="F9" s="27">
        <f t="shared" si="3"/>
        <v>0.46965621621621623</v>
      </c>
      <c r="G9" s="27">
        <f t="shared" si="3"/>
        <v>1.0071091755951951</v>
      </c>
      <c r="H9" s="27">
        <f t="shared" si="3"/>
        <v>1.5475395756475572</v>
      </c>
      <c r="I9" s="28">
        <v>0.9</v>
      </c>
      <c r="J9" s="28">
        <v>0.9</v>
      </c>
      <c r="K9" s="28">
        <v>0.3</v>
      </c>
      <c r="L9" s="28">
        <v>0.3</v>
      </c>
      <c r="M9" s="28">
        <v>0.3</v>
      </c>
      <c r="N9" s="19"/>
      <c r="O9" s="3" t="s">
        <v>11</v>
      </c>
      <c r="P9" s="12">
        <f>D76</f>
        <v>0</v>
      </c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 2021:2025" x14ac:dyDescent="0.2">
      <c r="A10" s="48" t="s">
        <v>12</v>
      </c>
      <c r="B10" s="19"/>
      <c r="C10" s="20"/>
      <c r="D10" s="45">
        <v>4.4864248704663212E-2</v>
      </c>
      <c r="E10" s="45">
        <v>0.10593586008778956</v>
      </c>
      <c r="F10" s="45">
        <v>9.4207593244586205E-2</v>
      </c>
      <c r="G10" s="45">
        <v>9.0664773428261541E-2</v>
      </c>
      <c r="H10" s="45">
        <v>9.027217643147796E-2</v>
      </c>
      <c r="I10" s="45">
        <v>2.7065130065733901E-2</v>
      </c>
      <c r="J10" s="45">
        <v>4.8305632231162264E-2</v>
      </c>
      <c r="K10" s="45">
        <v>5.7459947868850031E-2</v>
      </c>
      <c r="L10" s="45">
        <v>8.9442732487664822E-2</v>
      </c>
      <c r="M10" s="45">
        <v>2.1732427779823739E-2</v>
      </c>
      <c r="N10" s="19"/>
      <c r="O10" s="3" t="s">
        <v>13</v>
      </c>
      <c r="P10" s="12">
        <f>E76</f>
        <v>0</v>
      </c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 2021:2025" x14ac:dyDescent="0.2">
      <c r="A11" s="48" t="s">
        <v>14</v>
      </c>
      <c r="B11" s="30"/>
      <c r="C11" s="31"/>
      <c r="D11" s="27">
        <f>-D32/(D26+D27+D28)</f>
        <v>9.0456472804552879E-2</v>
      </c>
      <c r="E11" s="27">
        <f>E32/E31</f>
        <v>0.24822131416769194</v>
      </c>
      <c r="F11" s="27">
        <f t="shared" ref="F11:H11" si="4">F32/F31</f>
        <v>9.5525133748425153E-2</v>
      </c>
      <c r="G11" s="27">
        <f>G32/-G31</f>
        <v>4.3363332363260981E-2</v>
      </c>
      <c r="H11" s="27">
        <f>H32/H31</f>
        <v>2.1126366850283649</v>
      </c>
      <c r="I11" s="28">
        <v>0.25</v>
      </c>
      <c r="J11" s="28">
        <v>0.25</v>
      </c>
      <c r="K11" s="28">
        <v>0.25</v>
      </c>
      <c r="L11" s="28">
        <v>0.25</v>
      </c>
      <c r="M11" s="28">
        <v>0.25</v>
      </c>
      <c r="N11" s="19"/>
      <c r="O11" s="3" t="s">
        <v>15</v>
      </c>
      <c r="P11" s="12">
        <f>F76</f>
        <v>0</v>
      </c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 2021:2025" x14ac:dyDescent="0.2">
      <c r="A12" s="48" t="s">
        <v>16</v>
      </c>
      <c r="B12" s="19"/>
      <c r="C12" s="32"/>
      <c r="D12" s="19">
        <f>D39/D20*D17</f>
        <v>28.814352887677789</v>
      </c>
      <c r="E12" s="19">
        <f>E39/E20*E17</f>
        <v>30.349441699472713</v>
      </c>
      <c r="F12" s="19">
        <f>F39/F20*F17</f>
        <v>28.1645335453962</v>
      </c>
      <c r="G12" s="19">
        <f>G39/G20*G17</f>
        <v>22.925970013466245</v>
      </c>
      <c r="H12" s="19">
        <f>H39/H20*H17</f>
        <v>25.129568358730666</v>
      </c>
      <c r="I12" s="21">
        <f>AVERAGE(D12:H12)</f>
        <v>27.076773300948719</v>
      </c>
      <c r="J12" s="21">
        <v>27</v>
      </c>
      <c r="K12" s="21">
        <v>27</v>
      </c>
      <c r="L12" s="21">
        <v>27</v>
      </c>
      <c r="M12" s="21">
        <v>27</v>
      </c>
      <c r="N12" s="19"/>
      <c r="O12" s="3" t="s">
        <v>17</v>
      </c>
      <c r="P12" s="12">
        <f>G76</f>
        <v>0</v>
      </c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 2021:2025" x14ac:dyDescent="0.2">
      <c r="A13" s="48" t="s">
        <v>18</v>
      </c>
      <c r="B13" s="19"/>
      <c r="C13" s="32"/>
      <c r="D13" s="19">
        <f>D40/D21*D17</f>
        <v>87.253861414515967</v>
      </c>
      <c r="E13" s="19">
        <f>E40/E21*E17</f>
        <v>101.56122636237735</v>
      </c>
      <c r="F13" s="19">
        <f>F40/F21*F17</f>
        <v>80.204155935758934</v>
      </c>
      <c r="G13" s="19">
        <f>G40/G21*G17</f>
        <v>76.858297130360256</v>
      </c>
      <c r="H13" s="19">
        <f>H40/H21*H17</f>
        <v>79.930740345641937</v>
      </c>
      <c r="I13" s="21">
        <f>AVERAGE(D13:H13)</f>
        <v>85.161656237730895</v>
      </c>
      <c r="J13" s="21">
        <v>85</v>
      </c>
      <c r="K13" s="21">
        <v>85</v>
      </c>
      <c r="L13" s="21">
        <v>85</v>
      </c>
      <c r="M13" s="21">
        <v>85</v>
      </c>
      <c r="N13" s="19"/>
      <c r="O13" s="3" t="s">
        <v>19</v>
      </c>
      <c r="P13" s="12">
        <f>H76</f>
        <v>0</v>
      </c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 2021:2025" x14ac:dyDescent="0.2">
      <c r="A14" s="48" t="s">
        <v>20</v>
      </c>
      <c r="B14" s="19"/>
      <c r="C14" s="32"/>
      <c r="D14" s="19">
        <f>D55/D21*D17</f>
        <v>66.259729107609076</v>
      </c>
      <c r="E14" s="19">
        <f>E55/E21*E17</f>
        <v>49.71352797510832</v>
      </c>
      <c r="F14" s="19">
        <f>F55/F21*F17</f>
        <v>54.35996044139911</v>
      </c>
      <c r="G14" s="19">
        <f>G55/G21*G17</f>
        <v>57.149785737506278</v>
      </c>
      <c r="H14" s="19">
        <f>H55/H21*H17</f>
        <v>57.6878780607178</v>
      </c>
      <c r="I14" s="21">
        <f>AVERAGE(D14:H14)</f>
        <v>57.034176264468115</v>
      </c>
      <c r="J14" s="21">
        <v>57</v>
      </c>
      <c r="K14" s="21">
        <v>57</v>
      </c>
      <c r="L14" s="21">
        <v>57</v>
      </c>
      <c r="M14" s="21">
        <v>57</v>
      </c>
      <c r="N14" s="19"/>
      <c r="O14" s="3" t="s">
        <v>21</v>
      </c>
      <c r="P14" s="12">
        <f>D116</f>
        <v>0</v>
      </c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 2021:2025" ht="20" customHeight="1" x14ac:dyDescent="0.2">
      <c r="A15" s="48" t="s">
        <v>22</v>
      </c>
      <c r="B15" s="19"/>
      <c r="C15" s="20"/>
      <c r="D15" s="19"/>
      <c r="E15" s="19">
        <f>(E45-D45)+E81</f>
        <v>112360</v>
      </c>
      <c r="F15" s="19">
        <f>(F45-E45)+F81</f>
        <v>111090</v>
      </c>
      <c r="G15" s="19">
        <f>(G45-F45)+G81</f>
        <v>75860</v>
      </c>
      <c r="H15" s="19">
        <f>(H45-G45)+H81</f>
        <v>73138</v>
      </c>
      <c r="I15" s="21">
        <v>20000</v>
      </c>
      <c r="J15" s="21">
        <v>20000</v>
      </c>
      <c r="K15" s="21">
        <v>100000</v>
      </c>
      <c r="L15" s="21">
        <v>120000</v>
      </c>
      <c r="M15" s="21">
        <v>100000</v>
      </c>
      <c r="N15" s="19"/>
      <c r="O15" s="3" t="s">
        <v>23</v>
      </c>
      <c r="P15" s="12">
        <f>E116</f>
        <v>0</v>
      </c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 2021:2025" ht="15" customHeight="1" x14ac:dyDescent="0.2">
      <c r="A16" s="48" t="s">
        <v>24</v>
      </c>
      <c r="B16" s="19"/>
      <c r="C16" s="20"/>
      <c r="D16" s="19">
        <f>-(D108+D109)</f>
        <v>1020119</v>
      </c>
      <c r="E16" s="19">
        <f t="shared" ref="E16:H16" si="5">-(E108+E109)</f>
        <v>11477</v>
      </c>
      <c r="F16" s="19">
        <f t="shared" si="5"/>
        <v>192105</v>
      </c>
      <c r="G16" s="19">
        <f t="shared" si="5"/>
        <v>560690</v>
      </c>
      <c r="H16" s="19">
        <f t="shared" si="5"/>
        <v>586565</v>
      </c>
      <c r="I16" s="21">
        <v>300000</v>
      </c>
      <c r="J16" s="21">
        <v>300000</v>
      </c>
      <c r="K16" s="21">
        <v>300000</v>
      </c>
      <c r="L16" s="21">
        <v>300000</v>
      </c>
      <c r="M16" s="21">
        <v>300000</v>
      </c>
    </row>
    <row r="17" spans="1:13" ht="15" customHeight="1" x14ac:dyDescent="0.2">
      <c r="A17" s="48" t="s">
        <v>25</v>
      </c>
      <c r="B17" s="19"/>
      <c r="C17" s="20"/>
      <c r="D17" s="19">
        <v>365</v>
      </c>
      <c r="E17" s="19">
        <v>365</v>
      </c>
      <c r="F17" s="19">
        <v>365</v>
      </c>
      <c r="G17" s="19">
        <v>365</v>
      </c>
      <c r="H17" s="19">
        <v>365</v>
      </c>
      <c r="I17" s="21">
        <v>365</v>
      </c>
      <c r="J17" s="21">
        <v>365</v>
      </c>
      <c r="K17" s="21">
        <v>365</v>
      </c>
      <c r="L17" s="21">
        <v>365</v>
      </c>
      <c r="M17" s="21">
        <v>365</v>
      </c>
    </row>
    <row r="18" spans="1:13" ht="15" customHeight="1" x14ac:dyDescent="0.2">
      <c r="A18" s="3"/>
      <c r="B18" s="3"/>
      <c r="C18" s="3"/>
      <c r="D18" s="3"/>
      <c r="E18" s="3"/>
      <c r="F18" s="3"/>
      <c r="G18" s="3"/>
      <c r="H18" s="3"/>
      <c r="I18" s="3"/>
    </row>
    <row r="19" spans="1:13" ht="15" customHeight="1" x14ac:dyDescent="0.2">
      <c r="A19" s="17" t="s">
        <v>26</v>
      </c>
      <c r="B19" s="17"/>
      <c r="C19" s="17"/>
      <c r="D19" s="17">
        <v>2021</v>
      </c>
      <c r="E19" s="17">
        <v>2022</v>
      </c>
      <c r="F19" s="17">
        <v>2023</v>
      </c>
      <c r="G19" s="17">
        <v>2024</v>
      </c>
      <c r="H19" s="17">
        <v>2025</v>
      </c>
      <c r="I19" s="33">
        <v>2026</v>
      </c>
      <c r="J19" s="33">
        <v>2027</v>
      </c>
      <c r="K19" s="33">
        <v>2028</v>
      </c>
      <c r="L19" s="33">
        <v>2029</v>
      </c>
      <c r="M19" s="33">
        <v>2030</v>
      </c>
    </row>
    <row r="20" spans="1:13" ht="15" customHeight="1" x14ac:dyDescent="0.2">
      <c r="A20" s="38" t="s">
        <v>27</v>
      </c>
      <c r="B20" s="3"/>
      <c r="C20" s="3"/>
      <c r="D20" s="9">
        <v>2313416</v>
      </c>
      <c r="E20" s="9">
        <v>3554985</v>
      </c>
      <c r="F20" s="9">
        <v>3962347</v>
      </c>
      <c r="G20" s="9">
        <v>4102108</v>
      </c>
      <c r="H20" s="9">
        <v>4040647</v>
      </c>
      <c r="I20" s="9">
        <f>H20*(1+I6)</f>
        <v>4016403.1179999998</v>
      </c>
      <c r="J20" s="9">
        <f>I20*(1+J6)</f>
        <v>4056567.1491799997</v>
      </c>
      <c r="K20" s="9">
        <f>J20*(1+K6)</f>
        <v>4137698.4921635999</v>
      </c>
      <c r="L20" s="9">
        <f>K20*(1+L6)</f>
        <v>4220452.4620068716</v>
      </c>
      <c r="M20" s="9">
        <f>L20*(1+M6)</f>
        <v>4347066.0358670782</v>
      </c>
    </row>
    <row r="21" spans="1:13" ht="15" customHeight="1" x14ac:dyDescent="0.2">
      <c r="A21" s="38" t="s">
        <v>28</v>
      </c>
      <c r="B21" s="3"/>
      <c r="C21" s="3"/>
      <c r="D21" s="9">
        <v>893196</v>
      </c>
      <c r="E21" s="9">
        <v>1694703</v>
      </c>
      <c r="F21" s="9">
        <v>1752337</v>
      </c>
      <c r="G21" s="9">
        <v>1691850</v>
      </c>
      <c r="H21" s="9">
        <v>1683592</v>
      </c>
      <c r="I21" s="9">
        <f>I20*I7</f>
        <v>1686889.3095599997</v>
      </c>
      <c r="J21" s="9">
        <f>J20*J7</f>
        <v>1703758.2026555999</v>
      </c>
      <c r="K21" s="9">
        <f>K20*K7</f>
        <v>1779210.351630348</v>
      </c>
      <c r="L21" s="9">
        <f>L20*L7</f>
        <v>1856999.0832830234</v>
      </c>
      <c r="M21" s="9">
        <f>M20*M7</f>
        <v>1956179.7161401852</v>
      </c>
    </row>
    <row r="22" spans="1:13" ht="15" customHeight="1" x14ac:dyDescent="0.2">
      <c r="A22" s="10" t="s">
        <v>29</v>
      </c>
      <c r="B22" s="10"/>
      <c r="C22" s="10"/>
      <c r="D22" s="11">
        <f>D20-D21</f>
        <v>1420220</v>
      </c>
      <c r="E22" s="11">
        <f>E20-E21</f>
        <v>1860282</v>
      </c>
      <c r="F22" s="11">
        <f>F20-F21</f>
        <v>2210010</v>
      </c>
      <c r="G22" s="11">
        <f>G20-G21</f>
        <v>2410258</v>
      </c>
      <c r="H22" s="11">
        <f>H20-H21</f>
        <v>2357055</v>
      </c>
      <c r="I22" s="11">
        <f>I20-I21</f>
        <v>2329513.8084399998</v>
      </c>
      <c r="J22" s="11">
        <f t="shared" ref="I22:M22" si="6">J20-J21</f>
        <v>2352808.9465243998</v>
      </c>
      <c r="K22" s="11">
        <f t="shared" si="6"/>
        <v>2358488.1405332517</v>
      </c>
      <c r="L22" s="11">
        <f t="shared" si="6"/>
        <v>2363453.3787238481</v>
      </c>
      <c r="M22" s="11">
        <f t="shared" si="6"/>
        <v>2390886.3197268927</v>
      </c>
    </row>
    <row r="23" spans="1:13" ht="15" customHeight="1" x14ac:dyDescent="0.2">
      <c r="A23" s="38" t="s">
        <v>30</v>
      </c>
      <c r="B23" s="3"/>
      <c r="C23" s="3"/>
      <c r="D23" s="9">
        <v>737156</v>
      </c>
      <c r="E23" s="9">
        <v>1009526</v>
      </c>
      <c r="F23" s="9">
        <v>1163940</v>
      </c>
      <c r="G23" s="9">
        <v>1364265</v>
      </c>
      <c r="H23" s="9">
        <v>1469425</v>
      </c>
      <c r="I23" s="9">
        <f>I20*I8</f>
        <v>1285248.9977599999</v>
      </c>
      <c r="J23" s="9">
        <f>J20*J8</f>
        <v>1338667.1592293999</v>
      </c>
      <c r="K23" s="9">
        <f>K20*K8</f>
        <v>1489571.4571788958</v>
      </c>
      <c r="L23" s="9">
        <f>L20*L8</f>
        <v>1519362.8863224736</v>
      </c>
      <c r="M23" s="9">
        <f>M20*M8</f>
        <v>1521473.1125534773</v>
      </c>
    </row>
    <row r="24" spans="1:13" ht="15" customHeight="1" x14ac:dyDescent="0.2">
      <c r="A24" s="8" t="s">
        <v>31</v>
      </c>
      <c r="B24" s="3"/>
      <c r="C24" s="3"/>
      <c r="D24" s="9">
        <v>0</v>
      </c>
      <c r="E24" s="9">
        <v>0</v>
      </c>
      <c r="F24" s="9">
        <v>0</v>
      </c>
      <c r="G24" s="9">
        <v>0</v>
      </c>
      <c r="H24" s="9">
        <v>307000</v>
      </c>
      <c r="I24" s="9">
        <v>307000</v>
      </c>
      <c r="J24" s="9">
        <v>307000</v>
      </c>
      <c r="K24" s="9">
        <v>307000</v>
      </c>
      <c r="L24" s="9">
        <v>307000</v>
      </c>
      <c r="M24" s="9">
        <v>307000</v>
      </c>
    </row>
    <row r="25" spans="1:13" ht="15" customHeight="1" x14ac:dyDescent="0.2">
      <c r="A25" s="8" t="s">
        <v>32</v>
      </c>
      <c r="B25" s="3"/>
      <c r="C25" s="3"/>
      <c r="D25" s="9">
        <v>0</v>
      </c>
      <c r="E25" s="9">
        <v>0</v>
      </c>
      <c r="F25" s="9">
        <v>9287</v>
      </c>
      <c r="G25" s="9">
        <v>24082</v>
      </c>
      <c r="H25" s="9">
        <v>431115</v>
      </c>
      <c r="I25" s="9">
        <v>290000</v>
      </c>
      <c r="J25" s="9">
        <v>102000</v>
      </c>
      <c r="K25" s="9">
        <v>60000</v>
      </c>
      <c r="L25" s="9">
        <v>15000</v>
      </c>
      <c r="M25" s="9">
        <v>7000</v>
      </c>
    </row>
    <row r="26" spans="1:13" ht="15" customHeight="1" x14ac:dyDescent="0.2">
      <c r="A26" s="10" t="s">
        <v>33</v>
      </c>
      <c r="B26" s="10"/>
      <c r="C26" s="10"/>
      <c r="D26" s="11">
        <f>D22-D23-D24-D25</f>
        <v>683064</v>
      </c>
      <c r="E26" s="11">
        <f>E22-E23-E24-E25</f>
        <v>850756</v>
      </c>
      <c r="F26" s="11">
        <f>F22-F23-F24-F25</f>
        <v>1036783</v>
      </c>
      <c r="G26" s="11">
        <f>G22-G23-G24-G25</f>
        <v>1021911</v>
      </c>
      <c r="H26" s="11">
        <f>H22-H23-H24-H25</f>
        <v>149515</v>
      </c>
      <c r="I26" s="11">
        <f>I22-I23-I24-I25</f>
        <v>447264.81067999988</v>
      </c>
      <c r="J26" s="11">
        <f t="shared" ref="I26:M26" si="7">J22-J23-J24-J25</f>
        <v>605141.78729499993</v>
      </c>
      <c r="K26" s="11">
        <f t="shared" si="7"/>
        <v>501916.68335435586</v>
      </c>
      <c r="L26" s="11">
        <f t="shared" si="7"/>
        <v>522090.4924013745</v>
      </c>
      <c r="M26" s="11">
        <f t="shared" si="7"/>
        <v>555413.20717341546</v>
      </c>
    </row>
    <row r="27" spans="1:13" ht="15" customHeight="1" x14ac:dyDescent="0.2">
      <c r="A27" s="8" t="s">
        <v>34</v>
      </c>
      <c r="B27" s="3"/>
      <c r="C27" s="3"/>
      <c r="D27" s="9">
        <v>-140</v>
      </c>
      <c r="E27" s="9">
        <v>3228</v>
      </c>
      <c r="F27" s="9">
        <v>-1240</v>
      </c>
      <c r="G27" s="9">
        <v>-6777</v>
      </c>
      <c r="H27" s="9">
        <v>9843</v>
      </c>
      <c r="I27" s="9">
        <v>9843</v>
      </c>
      <c r="J27" s="9">
        <v>9843</v>
      </c>
      <c r="K27" s="9">
        <v>9843</v>
      </c>
      <c r="L27" s="9">
        <v>9843</v>
      </c>
      <c r="M27" s="9">
        <v>9843</v>
      </c>
    </row>
    <row r="28" spans="1:13" ht="15" customHeight="1" x14ac:dyDescent="0.2">
      <c r="A28" s="8" t="s">
        <v>35</v>
      </c>
      <c r="B28" s="3"/>
      <c r="C28" s="3"/>
      <c r="D28" s="9">
        <v>775</v>
      </c>
      <c r="E28" s="9">
        <v>1020</v>
      </c>
      <c r="F28" s="9">
        <v>2406</v>
      </c>
      <c r="G28" s="9">
        <v>3484</v>
      </c>
      <c r="H28" s="9">
        <v>1844</v>
      </c>
      <c r="I28" s="9">
        <v>1844</v>
      </c>
      <c r="J28" s="9">
        <v>1844</v>
      </c>
      <c r="K28" s="9">
        <v>1844</v>
      </c>
      <c r="L28" s="9">
        <v>1844</v>
      </c>
      <c r="M28" s="9">
        <v>1844</v>
      </c>
    </row>
    <row r="29" spans="1:13" ht="15" customHeight="1" x14ac:dyDescent="0.2">
      <c r="A29" s="38" t="s">
        <v>36</v>
      </c>
      <c r="B29" s="3"/>
      <c r="C29" s="3"/>
      <c r="D29" s="9">
        <v>-21647</v>
      </c>
      <c r="E29" s="9">
        <v>-136158</v>
      </c>
      <c r="F29" s="9">
        <v>-161351</v>
      </c>
      <c r="G29" s="9">
        <v>-109264</v>
      </c>
      <c r="H29" s="9">
        <v>-88287</v>
      </c>
      <c r="I29" s="9">
        <f>-I144</f>
        <v>-42453.442806687963</v>
      </c>
      <c r="J29" s="9">
        <f>-J145</f>
        <v>-16239.999999999998</v>
      </c>
      <c r="K29" s="9">
        <f>-K146</f>
        <v>-15224.999999999998</v>
      </c>
      <c r="L29" s="9">
        <f>-L144</f>
        <v>-49353.54649753296</v>
      </c>
      <c r="M29" s="9">
        <f>-M144</f>
        <v>-17941.553472477965</v>
      </c>
    </row>
    <row r="30" spans="1:13" ht="15" customHeight="1" x14ac:dyDescent="0.2">
      <c r="A30" s="8" t="s">
        <v>37</v>
      </c>
      <c r="B30" s="3"/>
      <c r="C30" s="3"/>
      <c r="D30" s="9">
        <v>1797</v>
      </c>
      <c r="E30" s="9">
        <v>-338</v>
      </c>
      <c r="F30" s="9">
        <v>-326</v>
      </c>
      <c r="G30" s="9">
        <v>1231</v>
      </c>
      <c r="H30" s="9">
        <v>63</v>
      </c>
      <c r="I30" s="9">
        <f>AVERAGE(D30:H30)</f>
        <v>485.4</v>
      </c>
      <c r="J30" s="9">
        <f t="shared" ref="J30:M30" si="8">AVERAGE(E30:I30)</f>
        <v>223.08</v>
      </c>
      <c r="K30" s="9">
        <f t="shared" si="8"/>
        <v>335.29599999999999</v>
      </c>
      <c r="L30" s="9">
        <f t="shared" si="8"/>
        <v>467.55519999999996</v>
      </c>
      <c r="M30" s="9">
        <f t="shared" si="8"/>
        <v>314.86624</v>
      </c>
    </row>
    <row r="31" spans="1:13" ht="15" customHeight="1" x14ac:dyDescent="0.2">
      <c r="A31" s="10" t="s">
        <v>38</v>
      </c>
      <c r="B31" s="10"/>
      <c r="C31" s="10"/>
      <c r="D31" s="11">
        <f t="shared" ref="D31:M31" si="9">D26+D27+D28+D29+D30</f>
        <v>663849</v>
      </c>
      <c r="E31" s="11">
        <f t="shared" si="9"/>
        <v>718508</v>
      </c>
      <c r="F31" s="11">
        <f t="shared" si="9"/>
        <v>876272</v>
      </c>
      <c r="G31" s="11">
        <f t="shared" si="9"/>
        <v>910585</v>
      </c>
      <c r="H31" s="11">
        <f t="shared" si="9"/>
        <v>72978</v>
      </c>
      <c r="I31" s="11">
        <f t="shared" si="9"/>
        <v>416983.76787331194</v>
      </c>
      <c r="J31" s="11">
        <f t="shared" si="9"/>
        <v>600811.86729499989</v>
      </c>
      <c r="K31" s="11">
        <f t="shared" si="9"/>
        <v>498713.97935435583</v>
      </c>
      <c r="L31" s="11">
        <f t="shared" si="9"/>
        <v>484891.50110384153</v>
      </c>
      <c r="M31" s="11">
        <f t="shared" si="9"/>
        <v>549473.51994093752</v>
      </c>
    </row>
    <row r="32" spans="1:13" ht="15" customHeight="1" x14ac:dyDescent="0.2">
      <c r="A32" s="38" t="s">
        <v>39</v>
      </c>
      <c r="B32" s="3"/>
      <c r="C32" s="3"/>
      <c r="D32" s="9">
        <v>-61845</v>
      </c>
      <c r="E32" s="9">
        <v>178349</v>
      </c>
      <c r="F32" s="9">
        <v>83706</v>
      </c>
      <c r="G32" s="9">
        <v>-39486</v>
      </c>
      <c r="H32" s="9">
        <v>154176</v>
      </c>
      <c r="I32" s="9">
        <f>I31*I11</f>
        <v>104245.94196832798</v>
      </c>
      <c r="J32" s="9">
        <f t="shared" ref="J32:M32" si="10">J31*J11</f>
        <v>150202.96682374997</v>
      </c>
      <c r="K32" s="9">
        <f t="shared" si="10"/>
        <v>124678.49483858896</v>
      </c>
      <c r="L32" s="9">
        <f t="shared" si="10"/>
        <v>121222.87527596038</v>
      </c>
      <c r="M32" s="9">
        <f t="shared" si="10"/>
        <v>137368.37998523438</v>
      </c>
    </row>
    <row r="33" spans="1:13" ht="15" customHeight="1" x14ac:dyDescent="0.2">
      <c r="A33" s="10" t="s">
        <v>40</v>
      </c>
      <c r="B33" s="10"/>
      <c r="C33" s="10"/>
      <c r="D33" s="11">
        <f t="shared" ref="D33:M33" si="11">D31-D32</f>
        <v>725694</v>
      </c>
      <c r="E33" s="11">
        <f t="shared" si="11"/>
        <v>540159</v>
      </c>
      <c r="F33" s="11">
        <f t="shared" si="11"/>
        <v>792566</v>
      </c>
      <c r="G33" s="11">
        <f t="shared" si="11"/>
        <v>950071</v>
      </c>
      <c r="H33" s="11">
        <f t="shared" si="11"/>
        <v>-81198</v>
      </c>
      <c r="I33" s="11">
        <f t="shared" si="11"/>
        <v>312737.82590498397</v>
      </c>
      <c r="J33" s="11">
        <f t="shared" si="11"/>
        <v>450608.90047124994</v>
      </c>
      <c r="K33" s="11">
        <f t="shared" si="11"/>
        <v>374035.48451576685</v>
      </c>
      <c r="L33" s="11">
        <f t="shared" si="11"/>
        <v>363668.62582788116</v>
      </c>
      <c r="M33" s="11">
        <f t="shared" si="11"/>
        <v>412105.13995570317</v>
      </c>
    </row>
    <row r="34" spans="1:13" ht="1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3" ht="1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3" ht="15" customHeight="1" x14ac:dyDescent="0.2">
      <c r="A36" s="61" t="s">
        <v>41</v>
      </c>
      <c r="B36" s="61"/>
      <c r="C36" s="61"/>
      <c r="D36" s="61"/>
      <c r="E36" s="61"/>
      <c r="F36" s="61"/>
      <c r="G36" s="61"/>
      <c r="H36" s="61"/>
      <c r="I36" s="3"/>
      <c r="J36" s="3"/>
      <c r="K36" s="3"/>
    </row>
    <row r="37" spans="1:13" ht="15" customHeight="1" x14ac:dyDescent="0.2">
      <c r="A37" s="38" t="s">
        <v>42</v>
      </c>
      <c r="B37" s="3"/>
      <c r="C37" s="3"/>
      <c r="D37" s="9">
        <v>213197</v>
      </c>
      <c r="E37" s="9">
        <v>191629</v>
      </c>
      <c r="F37" s="9">
        <v>149288</v>
      </c>
      <c r="G37" s="9">
        <v>180485</v>
      </c>
      <c r="H37" s="9">
        <v>130354</v>
      </c>
      <c r="I37" s="9">
        <f>I115</f>
        <v>361852.25581267849</v>
      </c>
      <c r="J37" s="9">
        <f>J115</f>
        <v>389596.82281094772</v>
      </c>
      <c r="K37" s="9">
        <f t="shared" ref="K37:M37" si="12">K115</f>
        <v>231889.89036022348</v>
      </c>
      <c r="L37" s="9">
        <f t="shared" si="12"/>
        <v>87162.313674541409</v>
      </c>
      <c r="M37" s="9">
        <f t="shared" si="12"/>
        <v>55638.584214073227</v>
      </c>
    </row>
    <row r="38" spans="1:13" ht="15" customHeight="1" x14ac:dyDescent="0.2">
      <c r="A38" s="8" t="s">
        <v>43</v>
      </c>
      <c r="B38" s="3"/>
      <c r="C38" s="3"/>
      <c r="D38" s="9">
        <v>65</v>
      </c>
      <c r="E38" s="9">
        <v>2</v>
      </c>
      <c r="F38" s="9">
        <v>2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</row>
    <row r="39" spans="1:13" ht="15" customHeight="1" x14ac:dyDescent="0.2">
      <c r="A39" s="38" t="s">
        <v>44</v>
      </c>
      <c r="B39" s="3"/>
      <c r="C39" s="3"/>
      <c r="D39" s="9">
        <v>182629</v>
      </c>
      <c r="E39" s="9">
        <v>295594</v>
      </c>
      <c r="F39" s="9">
        <v>305747</v>
      </c>
      <c r="G39" s="9">
        <v>257657</v>
      </c>
      <c r="H39" s="9">
        <v>278191</v>
      </c>
      <c r="I39" s="9">
        <f>I20*I12/I17</f>
        <v>297948.59372961527</v>
      </c>
      <c r="J39" s="9">
        <f>J20*J12/J17</f>
        <v>300074.83021331503</v>
      </c>
      <c r="K39" s="9">
        <f>K20*K12/K17</f>
        <v>306076.32681758137</v>
      </c>
      <c r="L39" s="9">
        <f>L20*L12/L17</f>
        <v>312197.85335393297</v>
      </c>
      <c r="M39" s="9">
        <f>M20*M12/M17</f>
        <v>321563.78895455098</v>
      </c>
    </row>
    <row r="40" spans="1:13" ht="15" customHeight="1" x14ac:dyDescent="0.2">
      <c r="A40" s="38" t="s">
        <v>45</v>
      </c>
      <c r="B40" s="3"/>
      <c r="C40" s="3"/>
      <c r="D40" s="9">
        <v>213520</v>
      </c>
      <c r="E40" s="9">
        <v>471551</v>
      </c>
      <c r="F40" s="9">
        <v>385054</v>
      </c>
      <c r="G40" s="9">
        <v>356254</v>
      </c>
      <c r="H40" s="9">
        <v>368687</v>
      </c>
      <c r="I40" s="9">
        <f>I21*I13/I17</f>
        <v>393584.349292745</v>
      </c>
      <c r="J40" s="9">
        <f>J21*J13/J17</f>
        <v>396765.6088376054</v>
      </c>
      <c r="K40" s="9">
        <f>K21*K13/K17</f>
        <v>414336.65722898516</v>
      </c>
      <c r="L40" s="9">
        <f>L21*L13/L17</f>
        <v>432451.84131248487</v>
      </c>
      <c r="M40" s="9">
        <f>M21*M13/M17</f>
        <v>455548.70101894729</v>
      </c>
    </row>
    <row r="41" spans="1:13" ht="15" customHeight="1" x14ac:dyDescent="0.2">
      <c r="A41" s="8" t="s">
        <v>46</v>
      </c>
      <c r="B41" s="3"/>
      <c r="C41" s="3"/>
      <c r="D41" s="9">
        <v>22301</v>
      </c>
      <c r="E41" s="9">
        <v>14752</v>
      </c>
      <c r="F41" s="9">
        <v>4413</v>
      </c>
      <c r="G41" s="9">
        <v>4046</v>
      </c>
      <c r="H41" s="9">
        <v>32782</v>
      </c>
      <c r="I41" s="9">
        <f>AVERAGE(F41:H41)</f>
        <v>13747</v>
      </c>
      <c r="J41" s="9">
        <f t="shared" ref="J41:M41" si="13">AVERAGE(G41:I41)</f>
        <v>16858.333333333332</v>
      </c>
      <c r="K41" s="9">
        <f t="shared" si="13"/>
        <v>21129.111111111109</v>
      </c>
      <c r="L41" s="9">
        <f t="shared" si="13"/>
        <v>17244.814814814814</v>
      </c>
      <c r="M41" s="9">
        <f t="shared" si="13"/>
        <v>18410.753086419751</v>
      </c>
    </row>
    <row r="42" spans="1:13" ht="15" customHeight="1" x14ac:dyDescent="0.2">
      <c r="A42" s="8" t="s">
        <v>47</v>
      </c>
      <c r="B42" s="3"/>
      <c r="C42" s="3"/>
      <c r="D42" s="9">
        <v>12252</v>
      </c>
      <c r="E42" s="9">
        <v>18842</v>
      </c>
      <c r="F42" s="9">
        <v>21071</v>
      </c>
      <c r="G42" s="9">
        <v>22204</v>
      </c>
      <c r="H42" s="9">
        <v>22082</v>
      </c>
      <c r="I42" s="9">
        <f>H42*(1+(H42/G42-1))</f>
        <v>21960.670329670331</v>
      </c>
      <c r="J42" s="9">
        <f t="shared" ref="J42:M42" si="14">I42*(1+(I42/H42-1))</f>
        <v>21840.007305880932</v>
      </c>
      <c r="K42" s="9">
        <f t="shared" si="14"/>
        <v>21720.007265738728</v>
      </c>
      <c r="L42" s="9">
        <f t="shared" si="14"/>
        <v>21600.666566476426</v>
      </c>
      <c r="M42" s="9">
        <f t="shared" si="14"/>
        <v>21481.981585341939</v>
      </c>
    </row>
    <row r="43" spans="1:13" ht="15" customHeight="1" x14ac:dyDescent="0.2">
      <c r="A43" s="8" t="s">
        <v>48</v>
      </c>
      <c r="B43" s="3"/>
      <c r="C43" s="3"/>
      <c r="D43" s="9">
        <v>22605</v>
      </c>
      <c r="E43" s="9">
        <v>33605</v>
      </c>
      <c r="F43" s="9">
        <v>45129</v>
      </c>
      <c r="G43" s="9">
        <v>51623</v>
      </c>
      <c r="H43" s="9">
        <v>53787</v>
      </c>
      <c r="I43" s="9">
        <f>H43*(1+(H43/G43-1))</f>
        <v>56041.713364198135</v>
      </c>
      <c r="J43" s="9">
        <f t="shared" ref="J43:M43" si="15">I43*(1+(I43/H43-1))</f>
        <v>58390.94273328023</v>
      </c>
      <c r="K43" s="9">
        <f t="shared" si="15"/>
        <v>60838.65015196606</v>
      </c>
      <c r="L43" s="9">
        <f t="shared" si="15"/>
        <v>63388.963751114788</v>
      </c>
      <c r="M43" s="9">
        <f t="shared" si="15"/>
        <v>66046.184709939582</v>
      </c>
    </row>
    <row r="44" spans="1:13" ht="15" customHeight="1" x14ac:dyDescent="0.2">
      <c r="A44" s="10" t="s">
        <v>49</v>
      </c>
      <c r="B44" s="10"/>
      <c r="C44" s="10"/>
      <c r="D44" s="11">
        <f t="shared" ref="D44:L44" si="16">SUM(D37:D43)</f>
        <v>666569</v>
      </c>
      <c r="E44" s="11">
        <f t="shared" si="16"/>
        <v>1025975</v>
      </c>
      <c r="F44" s="11">
        <f t="shared" si="16"/>
        <v>910704</v>
      </c>
      <c r="G44" s="11">
        <f t="shared" si="16"/>
        <v>872269</v>
      </c>
      <c r="H44" s="11">
        <f t="shared" si="16"/>
        <v>885883</v>
      </c>
      <c r="I44" s="11">
        <f t="shared" si="16"/>
        <v>1145134.5825289071</v>
      </c>
      <c r="J44" s="11">
        <f t="shared" si="16"/>
        <v>1183526.5452343626</v>
      </c>
      <c r="K44" s="11">
        <f t="shared" si="16"/>
        <v>1055990.6429356057</v>
      </c>
      <c r="L44" s="11">
        <f t="shared" si="16"/>
        <v>934046.45347336528</v>
      </c>
      <c r="M44" s="11">
        <f t="shared" ref="M44" si="17">SUM(M37:M43)</f>
        <v>938689.9935692728</v>
      </c>
    </row>
    <row r="45" spans="1:13" ht="15" customHeight="1" x14ac:dyDescent="0.2">
      <c r="A45" s="38" t="s">
        <v>50</v>
      </c>
      <c r="B45" s="3"/>
      <c r="C45" s="3"/>
      <c r="D45" s="9">
        <v>108398</v>
      </c>
      <c r="E45" s="9">
        <v>181529</v>
      </c>
      <c r="F45" s="9">
        <v>238315</v>
      </c>
      <c r="G45" s="9">
        <v>244335</v>
      </c>
      <c r="H45" s="9">
        <v>238191</v>
      </c>
      <c r="I45" s="9">
        <f>AVERAGE(F45:H45)</f>
        <v>240280.33333333334</v>
      </c>
      <c r="J45" s="9">
        <f>AVERAGE(G45:I45)</f>
        <v>240935.44444444447</v>
      </c>
      <c r="K45" s="9">
        <v>320000</v>
      </c>
      <c r="L45" s="9">
        <v>350000</v>
      </c>
      <c r="M45" s="9">
        <v>360000</v>
      </c>
    </row>
    <row r="46" spans="1:13" ht="15" customHeight="1" x14ac:dyDescent="0.2">
      <c r="A46" s="8" t="s">
        <v>51</v>
      </c>
      <c r="B46" s="3"/>
      <c r="C46" s="3"/>
      <c r="D46" s="9">
        <v>28802</v>
      </c>
      <c r="E46" s="9">
        <v>1800167</v>
      </c>
      <c r="F46" s="9">
        <v>1792562</v>
      </c>
      <c r="G46" s="9">
        <v>1777080</v>
      </c>
      <c r="H46" s="9">
        <v>1324680</v>
      </c>
      <c r="I46" s="9">
        <f t="shared" ref="I46:I51" si="18">AVERAGE(F46:H46)</f>
        <v>1631440.6666666667</v>
      </c>
      <c r="J46" s="9">
        <f t="shared" ref="J45:M51" si="19">AVERAGE(G46:I46)</f>
        <v>1577733.5555555557</v>
      </c>
      <c r="K46" s="9">
        <f t="shared" si="19"/>
        <v>1511284.7407407409</v>
      </c>
      <c r="L46" s="9">
        <f t="shared" si="19"/>
        <v>1573486.3209876546</v>
      </c>
      <c r="M46" s="9">
        <f t="shared" si="19"/>
        <v>1554168.2057613172</v>
      </c>
    </row>
    <row r="47" spans="1:13" ht="15" customHeight="1" x14ac:dyDescent="0.2">
      <c r="A47" s="8" t="s">
        <v>52</v>
      </c>
      <c r="B47" s="3"/>
      <c r="C47" s="3"/>
      <c r="D47" s="9">
        <v>1600</v>
      </c>
      <c r="E47" s="9">
        <v>714814</v>
      </c>
      <c r="F47" s="9">
        <v>711588</v>
      </c>
      <c r="G47" s="9">
        <v>711491</v>
      </c>
      <c r="H47" s="9">
        <v>404689</v>
      </c>
      <c r="I47" s="9">
        <f t="shared" si="18"/>
        <v>609256</v>
      </c>
      <c r="J47" s="9">
        <f t="shared" si="19"/>
        <v>575145.33333333337</v>
      </c>
      <c r="K47" s="9">
        <f t="shared" si="19"/>
        <v>529696.77777777787</v>
      </c>
      <c r="L47" s="9">
        <f t="shared" si="19"/>
        <v>571366.0370370372</v>
      </c>
      <c r="M47" s="9">
        <f t="shared" si="19"/>
        <v>558736.04938271607</v>
      </c>
    </row>
    <row r="48" spans="1:13" ht="15" customHeight="1" x14ac:dyDescent="0.2">
      <c r="A48" s="8" t="s">
        <v>53</v>
      </c>
      <c r="B48" s="3"/>
      <c r="C48" s="3"/>
      <c r="D48" s="9">
        <v>567201</v>
      </c>
      <c r="E48" s="9">
        <v>528278</v>
      </c>
      <c r="F48" s="9">
        <v>667972</v>
      </c>
      <c r="G48" s="9">
        <v>872350</v>
      </c>
      <c r="H48" s="9">
        <v>935054</v>
      </c>
      <c r="I48" s="9">
        <f t="shared" si="18"/>
        <v>825125.33333333337</v>
      </c>
      <c r="J48" s="9">
        <f t="shared" si="19"/>
        <v>877509.77777777787</v>
      </c>
      <c r="K48" s="9">
        <f t="shared" si="19"/>
        <v>879229.70370370382</v>
      </c>
      <c r="L48" s="9">
        <f t="shared" si="19"/>
        <v>860621.6049382718</v>
      </c>
      <c r="M48" s="9">
        <f t="shared" si="19"/>
        <v>872453.69547325128</v>
      </c>
    </row>
    <row r="49" spans="1:13" ht="15" customHeight="1" x14ac:dyDescent="0.2">
      <c r="A49" s="8" t="s">
        <v>54</v>
      </c>
      <c r="B49" s="3"/>
      <c r="C49" s="3"/>
      <c r="D49" s="9">
        <v>3663</v>
      </c>
      <c r="E49" s="9">
        <v>3254</v>
      </c>
      <c r="F49" s="9">
        <v>3807</v>
      </c>
      <c r="G49" s="9">
        <v>3193</v>
      </c>
      <c r="H49" s="9">
        <v>3557</v>
      </c>
      <c r="I49" s="9">
        <f t="shared" si="18"/>
        <v>3519</v>
      </c>
      <c r="J49" s="9">
        <f t="shared" si="19"/>
        <v>3423</v>
      </c>
      <c r="K49" s="9">
        <f t="shared" si="19"/>
        <v>3499.6666666666665</v>
      </c>
      <c r="L49" s="9">
        <f t="shared" si="19"/>
        <v>3480.5555555555552</v>
      </c>
      <c r="M49" s="9">
        <f t="shared" si="19"/>
        <v>3467.7407407407404</v>
      </c>
    </row>
    <row r="50" spans="1:13" ht="15" customHeight="1" x14ac:dyDescent="0.2">
      <c r="A50" s="8" t="s">
        <v>55</v>
      </c>
      <c r="B50" s="3"/>
      <c r="C50" s="3"/>
      <c r="D50" s="9">
        <v>160768</v>
      </c>
      <c r="E50" s="9">
        <v>239905</v>
      </c>
      <c r="F50" s="9">
        <v>287440</v>
      </c>
      <c r="G50" s="9">
        <v>307228</v>
      </c>
      <c r="H50" s="9">
        <v>338669</v>
      </c>
      <c r="I50" s="9">
        <f t="shared" si="18"/>
        <v>311112.33333333331</v>
      </c>
      <c r="J50" s="9">
        <f t="shared" si="19"/>
        <v>319003.11111111107</v>
      </c>
      <c r="K50" s="9">
        <v>500000</v>
      </c>
      <c r="L50" s="9">
        <v>530000</v>
      </c>
      <c r="M50" s="9">
        <v>550000</v>
      </c>
    </row>
    <row r="51" spans="1:13" ht="15" customHeight="1" x14ac:dyDescent="0.2">
      <c r="A51" s="8" t="s">
        <v>56</v>
      </c>
      <c r="B51" s="3"/>
      <c r="C51" s="3"/>
      <c r="D51" s="9">
        <v>8067</v>
      </c>
      <c r="E51" s="9">
        <v>7875</v>
      </c>
      <c r="F51" s="9">
        <v>31446</v>
      </c>
      <c r="G51" s="9">
        <v>24207</v>
      </c>
      <c r="H51" s="9">
        <v>44027</v>
      </c>
      <c r="I51" s="9">
        <f t="shared" si="18"/>
        <v>33226.666666666664</v>
      </c>
      <c r="J51" s="9">
        <f t="shared" si="19"/>
        <v>33820.222222222219</v>
      </c>
      <c r="K51" s="9">
        <f t="shared" si="19"/>
        <v>37024.629629629628</v>
      </c>
      <c r="L51" s="9">
        <f t="shared" si="19"/>
        <v>34690.506172839501</v>
      </c>
      <c r="M51" s="9">
        <f t="shared" si="19"/>
        <v>35178.452674897118</v>
      </c>
    </row>
    <row r="52" spans="1:13" ht="15" customHeight="1" x14ac:dyDescent="0.2">
      <c r="A52" s="10" t="s">
        <v>57</v>
      </c>
      <c r="B52" s="10"/>
      <c r="C52" s="10"/>
      <c r="D52" s="11">
        <f t="shared" ref="D52:M52" si="20">D44+SUM(D45:D51)</f>
        <v>1545068</v>
      </c>
      <c r="E52" s="11">
        <f t="shared" si="20"/>
        <v>4501797</v>
      </c>
      <c r="F52" s="11">
        <f t="shared" si="20"/>
        <v>4643834</v>
      </c>
      <c r="G52" s="11">
        <f t="shared" si="20"/>
        <v>4812153</v>
      </c>
      <c r="H52" s="11">
        <f t="shared" si="20"/>
        <v>4174750</v>
      </c>
      <c r="I52" s="11">
        <f t="shared" si="20"/>
        <v>4799094.9158622408</v>
      </c>
      <c r="J52" s="11">
        <f t="shared" si="20"/>
        <v>4811096.9896788076</v>
      </c>
      <c r="K52" s="11">
        <f t="shared" si="20"/>
        <v>4836726.1614541244</v>
      </c>
      <c r="L52" s="11">
        <f t="shared" si="20"/>
        <v>4857691.4781647241</v>
      </c>
      <c r="M52" s="11">
        <f t="shared" si="20"/>
        <v>4872694.1376021951</v>
      </c>
    </row>
    <row r="53" spans="1:13" ht="1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3" ht="15" customHeight="1" x14ac:dyDescent="0.2">
      <c r="A54" s="61" t="s">
        <v>58</v>
      </c>
      <c r="B54" s="61"/>
      <c r="C54" s="61"/>
      <c r="D54" s="61"/>
      <c r="E54" s="61"/>
      <c r="F54" s="61"/>
      <c r="G54" s="61"/>
      <c r="H54" s="61"/>
      <c r="I54" s="3"/>
      <c r="J54" s="3"/>
      <c r="K54" s="3"/>
    </row>
    <row r="55" spans="1:13" ht="15" customHeight="1" x14ac:dyDescent="0.2">
      <c r="A55" s="38" t="s">
        <v>59</v>
      </c>
      <c r="B55" s="3"/>
      <c r="C55" s="3"/>
      <c r="D55" s="9">
        <v>162145</v>
      </c>
      <c r="E55" s="9">
        <v>230821</v>
      </c>
      <c r="F55" s="9">
        <v>260978</v>
      </c>
      <c r="G55" s="9">
        <v>264901</v>
      </c>
      <c r="H55" s="9">
        <v>266090</v>
      </c>
      <c r="I55" s="9">
        <f>I21*I14/I17</f>
        <v>263589.97868518339</v>
      </c>
      <c r="J55" s="9">
        <f>J21*J14/J17</f>
        <v>266066.34945580602</v>
      </c>
      <c r="K55" s="9">
        <f>K21*K14/K17</f>
        <v>277849.28778884886</v>
      </c>
      <c r="L55" s="9">
        <f>L21*L14/L17</f>
        <v>289997.11711543106</v>
      </c>
      <c r="M55" s="9">
        <f>M21*M14/M17</f>
        <v>305485.59950682346</v>
      </c>
    </row>
    <row r="56" spans="1:13" ht="15" customHeight="1" x14ac:dyDescent="0.2">
      <c r="A56" s="8" t="s">
        <v>60</v>
      </c>
      <c r="B56" s="3"/>
      <c r="C56" s="3"/>
      <c r="D56" s="9">
        <v>166887</v>
      </c>
      <c r="E56" s="9">
        <v>239424</v>
      </c>
      <c r="F56" s="9">
        <v>285771</v>
      </c>
      <c r="G56" s="9">
        <v>298068</v>
      </c>
      <c r="H56" s="9">
        <v>300959</v>
      </c>
      <c r="I56" s="44">
        <f>H56*(1+(H56/G56-1))</f>
        <v>303878.04018210608</v>
      </c>
      <c r="J56" s="44">
        <f t="shared" ref="J56:M56" si="21">I56*(1+(I56/H56-1))</f>
        <v>306825.39251166332</v>
      </c>
      <c r="K56" s="44">
        <f t="shared" si="21"/>
        <v>309801.33159184369</v>
      </c>
      <c r="L56" s="44">
        <f t="shared" si="21"/>
        <v>312806.13468923088</v>
      </c>
      <c r="M56" s="44">
        <f t="shared" si="21"/>
        <v>315840.08175965294</v>
      </c>
    </row>
    <row r="57" spans="1:13" ht="15" customHeight="1" x14ac:dyDescent="0.2">
      <c r="A57" s="8" t="s">
        <v>61</v>
      </c>
      <c r="B57" s="3"/>
      <c r="C57" s="3"/>
      <c r="D57" s="9">
        <v>16279</v>
      </c>
      <c r="E57" s="9">
        <v>89211</v>
      </c>
      <c r="F57" s="9">
        <v>65952</v>
      </c>
      <c r="G57" s="9">
        <v>108688</v>
      </c>
      <c r="H57" s="9">
        <v>47308</v>
      </c>
      <c r="I57" s="9">
        <f>AVERAGE(F57:H57)</f>
        <v>73982.666666666672</v>
      </c>
      <c r="J57" s="9">
        <f t="shared" ref="J57:M57" si="22">AVERAGE(G57:I57)</f>
        <v>76659.555555555562</v>
      </c>
      <c r="K57" s="9">
        <f t="shared" si="22"/>
        <v>65983.407407407416</v>
      </c>
      <c r="L57" s="9">
        <f t="shared" si="22"/>
        <v>72208.54320987656</v>
      </c>
      <c r="M57" s="9">
        <f t="shared" si="22"/>
        <v>71617.168724279851</v>
      </c>
    </row>
    <row r="58" spans="1:13" ht="15" customHeight="1" x14ac:dyDescent="0.2">
      <c r="A58" s="8" t="s">
        <v>62</v>
      </c>
      <c r="B58" s="3"/>
      <c r="C58" s="3"/>
      <c r="D58" s="9">
        <v>0</v>
      </c>
      <c r="E58" s="9">
        <v>24362</v>
      </c>
      <c r="F58" s="9">
        <v>23328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</row>
    <row r="59" spans="1:13" ht="15" customHeight="1" x14ac:dyDescent="0.2">
      <c r="A59" s="8" t="s">
        <v>63</v>
      </c>
      <c r="B59" s="3"/>
      <c r="C59" s="3"/>
      <c r="D59" s="9">
        <v>42932</v>
      </c>
      <c r="E59" s="9">
        <v>57456</v>
      </c>
      <c r="F59" s="9">
        <v>62267</v>
      </c>
      <c r="G59" s="9">
        <v>68551</v>
      </c>
      <c r="H59" s="9">
        <v>85772</v>
      </c>
      <c r="I59" s="9">
        <f>AVERAGE(F59:H59)</f>
        <v>72196.666666666672</v>
      </c>
      <c r="J59" s="9">
        <f t="shared" ref="J59:M59" si="23">AVERAGE(G59:I59)</f>
        <v>75506.555555555562</v>
      </c>
      <c r="K59" s="9">
        <f t="shared" si="23"/>
        <v>77825.074074074088</v>
      </c>
      <c r="L59" s="9">
        <f t="shared" si="23"/>
        <v>75176.098765432122</v>
      </c>
      <c r="M59" s="9">
        <f t="shared" si="23"/>
        <v>76169.242798353938</v>
      </c>
    </row>
    <row r="60" spans="1:13" ht="15" customHeight="1" x14ac:dyDescent="0.2">
      <c r="A60" s="10" t="s">
        <v>64</v>
      </c>
      <c r="B60" s="10"/>
      <c r="C60" s="10"/>
      <c r="D60" s="11">
        <f>SUM(D55:D59)</f>
        <v>388243</v>
      </c>
      <c r="E60" s="11">
        <f>SUM(E55:E59)</f>
        <v>641274</v>
      </c>
      <c r="F60" s="11">
        <f>SUM(F55:F59)</f>
        <v>698296</v>
      </c>
      <c r="G60" s="11">
        <f>SUM(G55:G59)</f>
        <v>740208</v>
      </c>
      <c r="H60" s="11">
        <f t="shared" ref="H60:M60" si="24">SUM(H55:H59)</f>
        <v>700129</v>
      </c>
      <c r="I60" s="11">
        <f t="shared" si="24"/>
        <v>713647.35220062267</v>
      </c>
      <c r="J60" s="11">
        <f t="shared" si="24"/>
        <v>725057.85307858046</v>
      </c>
      <c r="K60" s="11">
        <f t="shared" si="24"/>
        <v>731459.10086217395</v>
      </c>
      <c r="L60" s="11">
        <f t="shared" si="24"/>
        <v>750187.89377997059</v>
      </c>
      <c r="M60" s="11">
        <f t="shared" si="24"/>
        <v>769112.09278911015</v>
      </c>
    </row>
    <row r="61" spans="1:13" ht="15" customHeight="1" x14ac:dyDescent="0.2">
      <c r="A61" s="8" t="s">
        <v>65</v>
      </c>
      <c r="B61" s="3"/>
      <c r="C61" s="3"/>
      <c r="D61" s="9">
        <v>0</v>
      </c>
      <c r="E61" s="9">
        <v>302030</v>
      </c>
      <c r="F61" s="9">
        <v>12912</v>
      </c>
      <c r="G61" s="9">
        <v>4086</v>
      </c>
      <c r="H61" s="9">
        <v>882</v>
      </c>
      <c r="I61" s="9">
        <v>500</v>
      </c>
      <c r="J61" s="9">
        <v>300</v>
      </c>
      <c r="K61" s="9">
        <v>0</v>
      </c>
      <c r="L61" s="9">
        <v>0</v>
      </c>
      <c r="M61" s="9">
        <v>0</v>
      </c>
    </row>
    <row r="62" spans="1:13" ht="15" customHeight="1" x14ac:dyDescent="0.2">
      <c r="A62" s="38" t="s">
        <v>66</v>
      </c>
      <c r="B62" s="3"/>
      <c r="C62" s="3"/>
      <c r="D62" s="9">
        <v>219744</v>
      </c>
      <c r="E62" s="9">
        <v>224837</v>
      </c>
      <c r="F62" s="9">
        <v>565171</v>
      </c>
      <c r="G62" s="9">
        <v>595434</v>
      </c>
      <c r="H62" s="9">
        <v>649057</v>
      </c>
      <c r="I62" s="9">
        <f>H62*(1+(H62/G62-1))</f>
        <v>707509.12653459492</v>
      </c>
      <c r="J62" s="9">
        <f t="shared" ref="J62:M62" si="25">I62*(1+(I62/H62-1))</f>
        <v>771225.27625423565</v>
      </c>
      <c r="K62" s="9">
        <f t="shared" si="25"/>
        <v>840679.51129721419</v>
      </c>
      <c r="L62" s="9">
        <f t="shared" si="25"/>
        <v>916388.58641601913</v>
      </c>
      <c r="M62" s="9">
        <f t="shared" si="25"/>
        <v>998915.79374611145</v>
      </c>
    </row>
    <row r="63" spans="1:13" ht="15" customHeight="1" x14ac:dyDescent="0.2">
      <c r="A63" s="38" t="s">
        <v>67</v>
      </c>
      <c r="B63" s="3"/>
      <c r="C63" s="3"/>
      <c r="D63" s="9">
        <v>771390</v>
      </c>
      <c r="E63" s="9">
        <v>2298027</v>
      </c>
      <c r="F63" s="9">
        <v>1640996</v>
      </c>
      <c r="G63" s="9">
        <v>1349339</v>
      </c>
      <c r="H63" s="9">
        <v>1230885</v>
      </c>
      <c r="I63" s="9">
        <f>I143</f>
        <v>950566</v>
      </c>
      <c r="J63" s="9">
        <f t="shared" ref="J63:M63" si="26">J143</f>
        <v>750566</v>
      </c>
      <c r="K63" s="9">
        <f t="shared" si="26"/>
        <v>900566</v>
      </c>
      <c r="L63" s="9">
        <f t="shared" si="26"/>
        <v>550566</v>
      </c>
      <c r="M63" s="9">
        <f t="shared" si="26"/>
        <v>400566</v>
      </c>
    </row>
    <row r="64" spans="1:13" ht="15" customHeight="1" x14ac:dyDescent="0.2">
      <c r="A64" s="38" t="s">
        <v>68</v>
      </c>
      <c r="B64" s="3"/>
      <c r="C64" s="3"/>
      <c r="D64" s="9">
        <v>149237</v>
      </c>
      <c r="E64" s="9">
        <v>215119</v>
      </c>
      <c r="F64" s="9">
        <v>269769</v>
      </c>
      <c r="G64" s="9">
        <v>283406</v>
      </c>
      <c r="H64" s="9">
        <v>297192</v>
      </c>
      <c r="I64" s="9">
        <f>H64*(1+(H64/G64-1))</f>
        <v>311648.60611278523</v>
      </c>
      <c r="J64" s="9">
        <f t="shared" ref="J64:M64" si="27">I64*(1+(I64/H64-1))</f>
        <v>326808.43929864175</v>
      </c>
      <c r="K64" s="9">
        <v>450000</v>
      </c>
      <c r="L64" s="9">
        <v>470000</v>
      </c>
      <c r="M64" s="9">
        <v>500000</v>
      </c>
    </row>
    <row r="65" spans="1:14" ht="15" customHeight="1" x14ac:dyDescent="0.2">
      <c r="A65" s="8" t="s">
        <v>69</v>
      </c>
      <c r="B65" s="3"/>
      <c r="C65" s="3"/>
      <c r="D65" s="9">
        <v>2372</v>
      </c>
      <c r="E65" s="9">
        <v>2579</v>
      </c>
      <c r="F65" s="9">
        <v>2767</v>
      </c>
      <c r="G65" s="9">
        <v>3948</v>
      </c>
      <c r="H65" s="9">
        <v>3322</v>
      </c>
      <c r="I65" s="9">
        <f>AVERAGE(F65:H65)</f>
        <v>3345.6666666666665</v>
      </c>
      <c r="J65" s="9">
        <f t="shared" ref="J65:M65" si="28">AVERAGE(G65:I65)</f>
        <v>3538.5555555555552</v>
      </c>
      <c r="K65" s="9">
        <f t="shared" si="28"/>
        <v>3402.0740740740735</v>
      </c>
      <c r="L65" s="9">
        <f t="shared" si="28"/>
        <v>3428.7654320987654</v>
      </c>
      <c r="M65" s="9">
        <f t="shared" si="28"/>
        <v>3456.4650205761313</v>
      </c>
    </row>
    <row r="66" spans="1:14" ht="15" customHeight="1" x14ac:dyDescent="0.2">
      <c r="A66" s="10" t="s">
        <v>70</v>
      </c>
      <c r="B66" s="10"/>
      <c r="C66" s="10"/>
      <c r="D66" s="11">
        <f t="shared" ref="D66:M66" si="29">D60+SUM(D61:D65)</f>
        <v>1530986</v>
      </c>
      <c r="E66" s="11">
        <f t="shared" si="29"/>
        <v>3683866</v>
      </c>
      <c r="F66" s="11">
        <f t="shared" si="29"/>
        <v>3189911</v>
      </c>
      <c r="G66" s="11">
        <f t="shared" si="29"/>
        <v>2976421</v>
      </c>
      <c r="H66" s="11">
        <f t="shared" si="29"/>
        <v>2881467</v>
      </c>
      <c r="I66" s="11">
        <f t="shared" si="29"/>
        <v>2687216.7515146695</v>
      </c>
      <c r="J66" s="11">
        <f t="shared" si="29"/>
        <v>2577496.1241870136</v>
      </c>
      <c r="K66" s="11">
        <f t="shared" si="29"/>
        <v>2926106.6862334623</v>
      </c>
      <c r="L66" s="11">
        <f t="shared" si="29"/>
        <v>2690571.2456280887</v>
      </c>
      <c r="M66" s="11">
        <f t="shared" si="29"/>
        <v>2672050.3515557977</v>
      </c>
    </row>
    <row r="67" spans="1:14" ht="1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4" ht="15" customHeight="1" x14ac:dyDescent="0.2">
      <c r="A68" s="61" t="s">
        <v>71</v>
      </c>
      <c r="B68" s="61"/>
      <c r="C68" s="61"/>
      <c r="D68" s="61"/>
      <c r="E68" s="61"/>
      <c r="F68" s="61"/>
      <c r="G68" s="61"/>
      <c r="H68" s="61"/>
      <c r="I68" s="3"/>
      <c r="J68" s="3"/>
      <c r="K68" s="3"/>
    </row>
    <row r="69" spans="1:14" ht="15" customHeight="1" x14ac:dyDescent="0.2">
      <c r="A69" s="8" t="s">
        <v>72</v>
      </c>
      <c r="B69" s="3"/>
      <c r="C69" s="3"/>
      <c r="D69" s="9">
        <v>106</v>
      </c>
      <c r="E69" s="9">
        <v>110</v>
      </c>
      <c r="F69" s="9">
        <v>110</v>
      </c>
      <c r="G69" s="9">
        <v>110</v>
      </c>
      <c r="H69" s="9">
        <v>111</v>
      </c>
      <c r="I69" s="9">
        <v>110</v>
      </c>
      <c r="J69" s="9">
        <v>110</v>
      </c>
      <c r="K69" s="9">
        <v>110</v>
      </c>
      <c r="L69" s="9">
        <v>110</v>
      </c>
      <c r="M69" s="9">
        <v>110</v>
      </c>
    </row>
    <row r="70" spans="1:14" ht="15" customHeight="1" x14ac:dyDescent="0.2">
      <c r="A70" s="8" t="s">
        <v>73</v>
      </c>
      <c r="B70" s="3"/>
      <c r="C70" s="3"/>
      <c r="D70" s="9">
        <v>-1684262</v>
      </c>
      <c r="E70" s="9">
        <v>-1695501</v>
      </c>
      <c r="F70" s="9">
        <v>-1888869</v>
      </c>
      <c r="G70" s="9">
        <v>-2453473</v>
      </c>
      <c r="H70" s="9">
        <v>-3040416</v>
      </c>
      <c r="I70" s="9">
        <f>H70-I108</f>
        <v>-2890416</v>
      </c>
      <c r="J70" s="9">
        <f t="shared" ref="J70:M70" si="30">I70-J108</f>
        <v>-2740416</v>
      </c>
      <c r="K70" s="9">
        <f t="shared" si="30"/>
        <v>-2590416</v>
      </c>
      <c r="L70" s="9">
        <f t="shared" si="30"/>
        <v>-2440416</v>
      </c>
      <c r="M70" s="9">
        <f t="shared" si="30"/>
        <v>-2290416</v>
      </c>
    </row>
    <row r="71" spans="1:14" ht="15" customHeight="1" x14ac:dyDescent="0.2">
      <c r="A71" s="38" t="s">
        <v>74</v>
      </c>
      <c r="B71" s="3"/>
      <c r="C71" s="3"/>
      <c r="D71" s="9">
        <v>496036</v>
      </c>
      <c r="E71" s="9">
        <v>797614</v>
      </c>
      <c r="F71" s="9">
        <v>826685</v>
      </c>
      <c r="G71" s="9">
        <v>859904</v>
      </c>
      <c r="H71" s="9">
        <v>896605</v>
      </c>
      <c r="I71" s="9">
        <f>H71+I86</f>
        <v>929547</v>
      </c>
      <c r="J71" s="9">
        <f>I71+J86</f>
        <v>963779</v>
      </c>
      <c r="K71" s="9">
        <f t="shared" ref="K71:M71" si="31">J71+K86</f>
        <v>998404</v>
      </c>
      <c r="L71" s="9">
        <f t="shared" si="31"/>
        <v>1032337</v>
      </c>
      <c r="M71" s="9">
        <f t="shared" si="31"/>
        <v>1066600.3333333333</v>
      </c>
    </row>
    <row r="72" spans="1:14" ht="15" customHeight="1" x14ac:dyDescent="0.2">
      <c r="A72" s="38" t="s">
        <v>75</v>
      </c>
      <c r="B72" s="3"/>
      <c r="C72" s="3"/>
      <c r="D72" s="9">
        <v>1279040</v>
      </c>
      <c r="E72" s="9">
        <v>1819199</v>
      </c>
      <c r="F72" s="9">
        <v>2611765</v>
      </c>
      <c r="G72" s="9">
        <v>3561836</v>
      </c>
      <c r="H72" s="9">
        <v>3480638</v>
      </c>
      <c r="I72" s="9">
        <f>H72+I33</f>
        <v>3793375.825904984</v>
      </c>
      <c r="J72" s="9">
        <f>I72+J33</f>
        <v>4243984.7263762336</v>
      </c>
      <c r="K72" s="9">
        <f>J72+K33</f>
        <v>4618020.2108920002</v>
      </c>
      <c r="L72" s="9">
        <f>K72+L33</f>
        <v>4981688.8367198817</v>
      </c>
      <c r="M72" s="9">
        <f>L72+M33</f>
        <v>5393793.9766755849</v>
      </c>
    </row>
    <row r="73" spans="1:14" ht="15" customHeight="1" x14ac:dyDescent="0.2">
      <c r="A73" s="8" t="s">
        <v>76</v>
      </c>
      <c r="B73" s="3"/>
      <c r="C73" s="3"/>
      <c r="D73" s="9">
        <v>-76838</v>
      </c>
      <c r="E73" s="9">
        <v>-103491</v>
      </c>
      <c r="F73" s="9">
        <v>-95768</v>
      </c>
      <c r="G73" s="9">
        <v>-132645</v>
      </c>
      <c r="H73" s="9">
        <v>-43655</v>
      </c>
      <c r="I73" s="9">
        <f>AVERAGE(F73:H73)</f>
        <v>-90689.333333333328</v>
      </c>
      <c r="J73" s="9">
        <f t="shared" ref="J73:M73" si="32">AVERAGE(G73:I73)</f>
        <v>-88996.444444444438</v>
      </c>
      <c r="K73" s="9">
        <f t="shared" si="32"/>
        <v>-74446.925925925912</v>
      </c>
      <c r="L73" s="9">
        <f t="shared" si="32"/>
        <v>-84710.901234567878</v>
      </c>
      <c r="M73" s="9">
        <f t="shared" si="32"/>
        <v>-82718.090534979405</v>
      </c>
    </row>
    <row r="74" spans="1:14" ht="15" customHeight="1" x14ac:dyDescent="0.2">
      <c r="A74" s="10" t="s">
        <v>77</v>
      </c>
      <c r="B74" s="10"/>
      <c r="C74" s="10"/>
      <c r="D74" s="11">
        <f t="shared" ref="D74:M74" si="33">SUM(D69:D73)</f>
        <v>14082</v>
      </c>
      <c r="E74" s="11">
        <f t="shared" si="33"/>
        <v>817931</v>
      </c>
      <c r="F74" s="11">
        <f t="shared" si="33"/>
        <v>1453923</v>
      </c>
      <c r="G74" s="11">
        <f t="shared" si="33"/>
        <v>1835732</v>
      </c>
      <c r="H74" s="11">
        <f t="shared" si="33"/>
        <v>1293283</v>
      </c>
      <c r="I74" s="11">
        <f t="shared" si="33"/>
        <v>1741927.4925716508</v>
      </c>
      <c r="J74" s="11">
        <f t="shared" si="33"/>
        <v>2378461.2819317891</v>
      </c>
      <c r="K74" s="11">
        <f t="shared" si="33"/>
        <v>2951671.2849660744</v>
      </c>
      <c r="L74" s="11">
        <f t="shared" si="33"/>
        <v>3489008.9354853136</v>
      </c>
      <c r="M74" s="11">
        <f t="shared" si="33"/>
        <v>4087370.2194739385</v>
      </c>
      <c r="N74" s="46"/>
    </row>
    <row r="75" spans="1:14" ht="15" customHeight="1" x14ac:dyDescent="0.2">
      <c r="A75" s="10" t="s">
        <v>78</v>
      </c>
      <c r="B75" s="10"/>
      <c r="C75" s="10"/>
      <c r="D75" s="11">
        <f t="shared" ref="D75:M75" si="34">D66+D74</f>
        <v>1545068</v>
      </c>
      <c r="E75" s="11">
        <f t="shared" si="34"/>
        <v>4501797</v>
      </c>
      <c r="F75" s="11">
        <f t="shared" si="34"/>
        <v>4643834</v>
      </c>
      <c r="G75" s="11">
        <f t="shared" si="34"/>
        <v>4812153</v>
      </c>
      <c r="H75" s="11">
        <f t="shared" si="34"/>
        <v>4174750</v>
      </c>
      <c r="I75" s="11">
        <f t="shared" si="34"/>
        <v>4429144.2440863205</v>
      </c>
      <c r="J75" s="11">
        <f t="shared" si="34"/>
        <v>4955957.4061188027</v>
      </c>
      <c r="K75" s="11">
        <f t="shared" si="34"/>
        <v>5877777.9711995367</v>
      </c>
      <c r="L75" s="11">
        <f t="shared" si="34"/>
        <v>6179580.1811134024</v>
      </c>
      <c r="M75" s="11">
        <f t="shared" si="34"/>
        <v>6759420.5710297357</v>
      </c>
    </row>
    <row r="76" spans="1:14" ht="15" customHeight="1" x14ac:dyDescent="0.2">
      <c r="A76" s="10" t="s">
        <v>79</v>
      </c>
      <c r="B76" s="10"/>
      <c r="C76" s="10"/>
      <c r="D76" s="11">
        <f t="shared" ref="D76:M76" si="35">D75-D52</f>
        <v>0</v>
      </c>
      <c r="E76" s="11">
        <f t="shared" si="35"/>
        <v>0</v>
      </c>
      <c r="F76" s="11">
        <f t="shared" si="35"/>
        <v>0</v>
      </c>
      <c r="G76" s="11">
        <f t="shared" si="35"/>
        <v>0</v>
      </c>
      <c r="H76" s="11">
        <f t="shared" si="35"/>
        <v>0</v>
      </c>
      <c r="I76" s="11">
        <f t="shared" si="35"/>
        <v>-369950.67177592032</v>
      </c>
      <c r="J76" s="11">
        <f t="shared" si="35"/>
        <v>144860.41643999517</v>
      </c>
      <c r="K76" s="11">
        <f t="shared" si="35"/>
        <v>1041051.8097454123</v>
      </c>
      <c r="L76" s="11">
        <f t="shared" si="35"/>
        <v>1321888.7029486783</v>
      </c>
      <c r="M76" s="11">
        <f t="shared" si="35"/>
        <v>1886726.4334275406</v>
      </c>
    </row>
    <row r="77" spans="1:14" ht="15" customHeight="1" x14ac:dyDescent="0.2">
      <c r="A77" s="3"/>
      <c r="B77" s="3"/>
      <c r="C77" s="3"/>
      <c r="D77" s="3"/>
      <c r="E77" s="3"/>
      <c r="F77" s="3"/>
      <c r="G77" s="3"/>
      <c r="H77" s="12"/>
      <c r="I77" s="3"/>
      <c r="J77" s="3"/>
      <c r="K77" s="3"/>
    </row>
    <row r="78" spans="1:14" ht="1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4" ht="15" customHeight="1" x14ac:dyDescent="0.2">
      <c r="A79" s="61" t="s">
        <v>80</v>
      </c>
      <c r="B79" s="61"/>
      <c r="C79" s="61"/>
      <c r="D79" s="61"/>
      <c r="E79" s="61"/>
      <c r="F79" s="61"/>
      <c r="G79" s="61"/>
      <c r="H79" s="61"/>
      <c r="I79" s="3"/>
      <c r="J79" s="3"/>
      <c r="K79" s="3"/>
    </row>
    <row r="80" spans="1:14" ht="15" customHeight="1" x14ac:dyDescent="0.2">
      <c r="A80" s="39" t="s">
        <v>40</v>
      </c>
      <c r="B80" s="10"/>
      <c r="C80" s="10"/>
      <c r="D80" s="11">
        <f t="shared" ref="D80:M80" si="36">D33</f>
        <v>725694</v>
      </c>
      <c r="E80" s="11">
        <f t="shared" si="36"/>
        <v>540159</v>
      </c>
      <c r="F80" s="11">
        <f t="shared" si="36"/>
        <v>792566</v>
      </c>
      <c r="G80" s="11">
        <f t="shared" si="36"/>
        <v>950071</v>
      </c>
      <c r="H80" s="11">
        <f t="shared" si="36"/>
        <v>-81198</v>
      </c>
      <c r="I80" s="11">
        <f t="shared" si="36"/>
        <v>312737.82590498397</v>
      </c>
      <c r="J80" s="11">
        <f t="shared" si="36"/>
        <v>450608.90047124994</v>
      </c>
      <c r="K80" s="11">
        <f t="shared" si="36"/>
        <v>374035.48451576685</v>
      </c>
      <c r="L80" s="11">
        <f t="shared" si="36"/>
        <v>363668.62582788116</v>
      </c>
      <c r="M80" s="11">
        <f t="shared" si="36"/>
        <v>412105.13995570317</v>
      </c>
    </row>
    <row r="81" spans="1:18" ht="15" customHeight="1" x14ac:dyDescent="0.2">
      <c r="A81" s="38" t="s">
        <v>81</v>
      </c>
      <c r="B81" s="3"/>
      <c r="C81" s="3"/>
      <c r="D81" s="9">
        <v>31976</v>
      </c>
      <c r="E81" s="9">
        <v>39229</v>
      </c>
      <c r="F81" s="9">
        <v>54304</v>
      </c>
      <c r="G81" s="9">
        <v>69840</v>
      </c>
      <c r="H81" s="9">
        <v>79282</v>
      </c>
      <c r="I81" s="9">
        <f>I130</f>
        <v>174203.1</v>
      </c>
      <c r="J81" s="9">
        <f t="shared" ref="J81:M81" si="37">J130</f>
        <v>35420.31</v>
      </c>
      <c r="K81" s="9">
        <f t="shared" si="37"/>
        <v>7180.6769999999988</v>
      </c>
      <c r="L81" s="9">
        <f t="shared" si="37"/>
        <v>11026.473899999999</v>
      </c>
      <c r="M81" s="9">
        <f t="shared" si="37"/>
        <v>43718.531729999995</v>
      </c>
    </row>
    <row r="82" spans="1:18" ht="15" customHeight="1" x14ac:dyDescent="0.2">
      <c r="A82" s="8" t="s">
        <v>82</v>
      </c>
      <c r="B82" s="3"/>
      <c r="C82" s="3"/>
      <c r="D82" s="9">
        <v>310</v>
      </c>
      <c r="E82" s="9">
        <v>9063</v>
      </c>
      <c r="F82" s="9">
        <v>419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</row>
    <row r="83" spans="1:18" ht="15" customHeight="1" x14ac:dyDescent="0.2">
      <c r="A83" s="8" t="s">
        <v>83</v>
      </c>
      <c r="B83" s="3"/>
      <c r="C83" s="3"/>
      <c r="D83" s="9">
        <v>58283</v>
      </c>
      <c r="E83" s="9">
        <v>66012</v>
      </c>
      <c r="F83" s="9">
        <v>79543</v>
      </c>
      <c r="G83" s="9">
        <v>85130</v>
      </c>
      <c r="H83" s="9">
        <v>104313</v>
      </c>
      <c r="I83" s="9">
        <f>H83*(1+(H83/G83-1))</f>
        <v>127818.653459415</v>
      </c>
      <c r="J83" s="9">
        <f t="shared" ref="J83:M83" si="38">I83*(1+(I83/H83-1))</f>
        <v>156621.01724787921</v>
      </c>
      <c r="K83" s="9">
        <f t="shared" si="38"/>
        <v>191913.63998799509</v>
      </c>
      <c r="L83" s="9">
        <f t="shared" si="38"/>
        <v>235159.02182623907</v>
      </c>
      <c r="M83" s="9">
        <f t="shared" si="38"/>
        <v>288149.21935581433</v>
      </c>
    </row>
    <row r="84" spans="1:18" ht="15" customHeight="1" x14ac:dyDescent="0.2">
      <c r="A84" s="8" t="s">
        <v>84</v>
      </c>
      <c r="B84" s="3"/>
      <c r="C84" s="3"/>
      <c r="D84" s="9">
        <v>1264</v>
      </c>
      <c r="E84" s="9">
        <v>2770</v>
      </c>
      <c r="F84" s="9">
        <v>2078</v>
      </c>
      <c r="G84" s="9">
        <v>812</v>
      </c>
      <c r="H84" s="9">
        <v>871</v>
      </c>
      <c r="I84" s="9">
        <v>1000</v>
      </c>
      <c r="J84" s="9">
        <v>1000</v>
      </c>
      <c r="K84" s="9">
        <v>1000</v>
      </c>
      <c r="L84" s="9">
        <v>1000</v>
      </c>
      <c r="M84" s="9">
        <v>1000</v>
      </c>
    </row>
    <row r="85" spans="1:18" ht="15" customHeight="1" x14ac:dyDescent="0.2">
      <c r="A85" s="8" t="s">
        <v>85</v>
      </c>
      <c r="B85" s="3"/>
      <c r="C85" s="3"/>
      <c r="D85" s="9">
        <v>-2629</v>
      </c>
      <c r="E85" s="9">
        <v>1101</v>
      </c>
      <c r="F85" s="9">
        <v>3568</v>
      </c>
      <c r="G85" s="9">
        <v>1352</v>
      </c>
      <c r="H85" s="9">
        <v>-190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</row>
    <row r="86" spans="1:18" ht="15" customHeight="1" x14ac:dyDescent="0.2">
      <c r="A86" s="8" t="s">
        <v>86</v>
      </c>
      <c r="B86" s="3"/>
      <c r="C86" s="3"/>
      <c r="D86" s="9">
        <v>38122</v>
      </c>
      <c r="E86" s="9">
        <v>31303</v>
      </c>
      <c r="F86" s="9">
        <v>29072</v>
      </c>
      <c r="G86" s="9">
        <v>33053</v>
      </c>
      <c r="H86" s="9">
        <v>36701</v>
      </c>
      <c r="I86" s="9">
        <f>AVERAGE(F86:H86)</f>
        <v>32942</v>
      </c>
      <c r="J86" s="9">
        <f t="shared" ref="J86:M86" si="39">AVERAGE(G86:I86)</f>
        <v>34232</v>
      </c>
      <c r="K86" s="9">
        <f t="shared" si="39"/>
        <v>34625</v>
      </c>
      <c r="L86" s="9">
        <f t="shared" si="39"/>
        <v>33933</v>
      </c>
      <c r="M86" s="9">
        <f t="shared" si="39"/>
        <v>34263.333333333336</v>
      </c>
    </row>
    <row r="87" spans="1:18" ht="15" customHeight="1" x14ac:dyDescent="0.2">
      <c r="A87" s="8" t="s">
        <v>32</v>
      </c>
      <c r="B87" s="3"/>
      <c r="C87" s="3"/>
      <c r="D87" s="9">
        <v>0</v>
      </c>
      <c r="E87" s="9">
        <v>0</v>
      </c>
      <c r="F87" s="9">
        <v>9287</v>
      </c>
      <c r="G87" s="9">
        <v>24081</v>
      </c>
      <c r="H87" s="9">
        <v>738115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</row>
    <row r="88" spans="1:18" ht="15" customHeight="1" x14ac:dyDescent="0.2">
      <c r="A88" s="8" t="s">
        <v>87</v>
      </c>
      <c r="B88" s="3"/>
      <c r="C88" s="3"/>
      <c r="D88" s="9">
        <v>-241283</v>
      </c>
      <c r="E88" s="9">
        <v>-4760</v>
      </c>
      <c r="F88" s="9">
        <v>-410319</v>
      </c>
      <c r="G88" s="9">
        <v>-254454</v>
      </c>
      <c r="H88" s="9">
        <v>47093</v>
      </c>
      <c r="I88" s="9"/>
      <c r="J88" s="9"/>
      <c r="K88" s="9"/>
      <c r="L88" s="9"/>
      <c r="M88" s="9"/>
      <c r="N88" s="41"/>
      <c r="O88" s="41"/>
      <c r="P88" s="41"/>
      <c r="Q88" s="41"/>
      <c r="R88" s="41"/>
    </row>
    <row r="89" spans="1:18" ht="15" customHeight="1" x14ac:dyDescent="0.2">
      <c r="A89" s="8" t="s">
        <v>88</v>
      </c>
      <c r="B89" s="3"/>
      <c r="C89" s="3"/>
      <c r="D89" s="9">
        <v>-46</v>
      </c>
      <c r="E89" s="9">
        <v>9947</v>
      </c>
      <c r="F89" s="9">
        <v>3401</v>
      </c>
      <c r="G89" s="9">
        <v>14171</v>
      </c>
      <c r="H89" s="9">
        <v>5931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O89" s="37"/>
      <c r="P89" s="37"/>
    </row>
    <row r="90" spans="1:18" ht="15" customHeight="1" x14ac:dyDescent="0.2">
      <c r="A90" s="8" t="s">
        <v>89</v>
      </c>
      <c r="B90" s="3"/>
      <c r="C90" s="3"/>
      <c r="D90" s="9">
        <v>-35063</v>
      </c>
      <c r="E90" s="9">
        <v>-56766</v>
      </c>
      <c r="F90" s="9">
        <v>-13317</v>
      </c>
      <c r="G90" s="9">
        <v>42587</v>
      </c>
      <c r="H90" s="9">
        <v>-6169</v>
      </c>
      <c r="I90" s="9">
        <v>-10000</v>
      </c>
      <c r="J90" s="9">
        <v>-10000</v>
      </c>
      <c r="K90" s="9">
        <v>-10000</v>
      </c>
      <c r="L90" s="9">
        <v>-10000</v>
      </c>
      <c r="M90" s="9">
        <v>-10000</v>
      </c>
      <c r="O90" s="37"/>
      <c r="P90" s="37"/>
    </row>
    <row r="91" spans="1:18" ht="15" customHeight="1" x14ac:dyDescent="0.2">
      <c r="A91" s="8" t="s">
        <v>90</v>
      </c>
      <c r="B91" s="3"/>
      <c r="C91" s="3"/>
      <c r="D91" s="9">
        <v>-43063</v>
      </c>
      <c r="E91" s="9">
        <v>-91614</v>
      </c>
      <c r="F91" s="9">
        <v>86350</v>
      </c>
      <c r="G91" s="9">
        <v>22055</v>
      </c>
      <c r="H91" s="9">
        <v>-13842</v>
      </c>
      <c r="I91" s="9">
        <f>AVERAGE(F91:H91)</f>
        <v>31521</v>
      </c>
      <c r="J91" s="9">
        <f t="shared" ref="J91:M91" si="40">AVERAGE(G91:I91)</f>
        <v>13244.666666666666</v>
      </c>
      <c r="K91" s="9">
        <f t="shared" si="40"/>
        <v>10307.888888888889</v>
      </c>
      <c r="L91" s="9">
        <f t="shared" si="40"/>
        <v>18357.85185185185</v>
      </c>
      <c r="M91" s="9">
        <f t="shared" si="40"/>
        <v>13970.135802469134</v>
      </c>
      <c r="O91" s="37"/>
    </row>
    <row r="92" spans="1:18" ht="15" customHeight="1" x14ac:dyDescent="0.2">
      <c r="A92" s="8" t="s">
        <v>91</v>
      </c>
      <c r="B92" s="3"/>
      <c r="C92" s="3"/>
      <c r="D92" s="9">
        <v>-6212</v>
      </c>
      <c r="E92" s="9">
        <v>-14435</v>
      </c>
      <c r="F92" s="9">
        <v>-31839</v>
      </c>
      <c r="G92" s="9">
        <v>-13892</v>
      </c>
      <c r="H92" s="9">
        <v>-22317</v>
      </c>
      <c r="I92" s="9">
        <f>AVERAGE(F92:H92)</f>
        <v>-22682.666666666668</v>
      </c>
      <c r="J92" s="9">
        <f t="shared" ref="J92:M92" si="41">AVERAGE(G92:I92)</f>
        <v>-19630.555555555558</v>
      </c>
      <c r="K92" s="9">
        <f t="shared" si="41"/>
        <v>-21543.407407407412</v>
      </c>
      <c r="L92" s="9">
        <f t="shared" si="41"/>
        <v>-21285.543209876545</v>
      </c>
      <c r="M92" s="9">
        <f t="shared" si="41"/>
        <v>-20819.835390946504</v>
      </c>
    </row>
    <row r="93" spans="1:18" ht="15" customHeight="1" x14ac:dyDescent="0.2">
      <c r="A93" s="8" t="s">
        <v>92</v>
      </c>
      <c r="B93" s="3"/>
      <c r="C93" s="3"/>
      <c r="D93" s="9">
        <v>34868</v>
      </c>
      <c r="E93" s="9">
        <v>41701</v>
      </c>
      <c r="F93" s="9">
        <v>37197</v>
      </c>
      <c r="G93" s="9">
        <v>3951</v>
      </c>
      <c r="H93" s="9">
        <v>709</v>
      </c>
      <c r="I93" s="9">
        <v>500</v>
      </c>
      <c r="J93" s="9">
        <v>500</v>
      </c>
      <c r="K93" s="9">
        <v>2500</v>
      </c>
      <c r="L93" s="9">
        <v>15700</v>
      </c>
      <c r="M93" s="9">
        <v>30000</v>
      </c>
    </row>
    <row r="94" spans="1:18" ht="15" customHeight="1" x14ac:dyDescent="0.2">
      <c r="A94" s="8" t="s">
        <v>93</v>
      </c>
      <c r="B94" s="3"/>
      <c r="C94" s="3"/>
      <c r="D94" s="9">
        <v>38448</v>
      </c>
      <c r="E94" s="9">
        <v>38629</v>
      </c>
      <c r="F94" s="9">
        <v>46695</v>
      </c>
      <c r="G94" s="9">
        <v>9971</v>
      </c>
      <c r="H94" s="9">
        <v>524</v>
      </c>
      <c r="I94" s="9">
        <v>100</v>
      </c>
      <c r="J94" s="9">
        <v>100</v>
      </c>
      <c r="K94" s="9">
        <v>100</v>
      </c>
      <c r="L94" s="9">
        <v>100</v>
      </c>
      <c r="M94" s="9">
        <v>100</v>
      </c>
    </row>
    <row r="95" spans="1:18" ht="15" customHeight="1" x14ac:dyDescent="0.2">
      <c r="A95" s="8" t="s">
        <v>94</v>
      </c>
      <c r="B95" s="3"/>
      <c r="C95" s="3"/>
      <c r="D95" s="9">
        <v>-52752</v>
      </c>
      <c r="E95" s="9">
        <v>-63355</v>
      </c>
      <c r="F95" s="9">
        <v>-75107</v>
      </c>
      <c r="G95" s="9">
        <v>-88772</v>
      </c>
      <c r="H95" s="9">
        <v>-105293</v>
      </c>
      <c r="I95" s="9">
        <f>H95*(1+(H95/G95-1))</f>
        <v>-124888.65688505385</v>
      </c>
      <c r="J95" s="9">
        <f t="shared" ref="J95:M95" si="42">I95*(1+(I95/H95-1))</f>
        <v>-148131.18268595924</v>
      </c>
      <c r="K95" s="9">
        <f t="shared" si="42"/>
        <v>-175699.28151390873</v>
      </c>
      <c r="L95" s="9">
        <f t="shared" si="42"/>
        <v>-208397.96837340592</v>
      </c>
      <c r="M95" s="9">
        <f t="shared" si="42"/>
        <v>-247182.07637476939</v>
      </c>
    </row>
    <row r="96" spans="1:18" ht="15" customHeight="1" x14ac:dyDescent="0.2">
      <c r="A96" s="8" t="s">
        <v>95</v>
      </c>
      <c r="B96" s="3"/>
      <c r="C96" s="3"/>
      <c r="D96" s="9">
        <v>19248</v>
      </c>
      <c r="E96" s="9">
        <v>54158</v>
      </c>
      <c r="F96" s="9">
        <v>316546</v>
      </c>
      <c r="G96" s="9">
        <v>92530</v>
      </c>
      <c r="H96" s="9">
        <v>-74099</v>
      </c>
      <c r="I96" s="9">
        <f>AVERAGE(F96:H96)</f>
        <v>111659</v>
      </c>
      <c r="J96" s="9">
        <f t="shared" ref="J96:M96" si="43">AVERAGE(G96:I96)</f>
        <v>43363.333333333336</v>
      </c>
      <c r="K96" s="9">
        <f t="shared" si="43"/>
        <v>26974.444444444449</v>
      </c>
      <c r="L96" s="9">
        <f t="shared" si="43"/>
        <v>60665.592592592591</v>
      </c>
      <c r="M96" s="9">
        <f t="shared" si="43"/>
        <v>43667.790123456791</v>
      </c>
    </row>
    <row r="97" spans="1:13" ht="15" customHeight="1" x14ac:dyDescent="0.2">
      <c r="A97" s="8" t="s">
        <v>96</v>
      </c>
      <c r="B97" s="3"/>
      <c r="C97" s="3"/>
      <c r="D97" s="9">
        <f>D125</f>
        <v>234004</v>
      </c>
      <c r="E97" s="9">
        <f t="shared" ref="E97:M97" si="44">E125</f>
        <v>302320</v>
      </c>
      <c r="F97" s="9">
        <f t="shared" si="44"/>
        <v>-106501</v>
      </c>
      <c r="G97" s="9">
        <f t="shared" si="44"/>
        <v>-80813</v>
      </c>
      <c r="H97" s="9">
        <f t="shared" si="44"/>
        <v>31778</v>
      </c>
      <c r="I97" s="9">
        <f t="shared" si="44"/>
        <v>47154.964337176934</v>
      </c>
      <c r="J97" s="9">
        <f t="shared" si="44"/>
        <v>2831.1252579374705</v>
      </c>
      <c r="K97" s="9">
        <f t="shared" si="44"/>
        <v>11789.60666260327</v>
      </c>
      <c r="L97" s="9">
        <f t="shared" si="44"/>
        <v>12088.881293269049</v>
      </c>
      <c r="M97" s="9">
        <f t="shared" si="44"/>
        <v>16974.31291568809</v>
      </c>
    </row>
    <row r="98" spans="1:13" ht="15" customHeight="1" x14ac:dyDescent="0.2">
      <c r="A98" s="10" t="s">
        <v>97</v>
      </c>
      <c r="B98" s="10"/>
      <c r="C98" s="10"/>
      <c r="D98" s="11">
        <f t="shared" ref="D98:M98" si="45">SUM(D80:D96)</f>
        <v>567165</v>
      </c>
      <c r="E98" s="11">
        <f t="shared" si="45"/>
        <v>603142</v>
      </c>
      <c r="F98" s="11">
        <f t="shared" si="45"/>
        <v>930444</v>
      </c>
      <c r="G98" s="11">
        <f t="shared" si="45"/>
        <v>992486</v>
      </c>
      <c r="H98" s="11">
        <f t="shared" si="45"/>
        <v>710431</v>
      </c>
      <c r="I98" s="11">
        <f t="shared" si="45"/>
        <v>634910.25581267849</v>
      </c>
      <c r="J98" s="11">
        <f t="shared" si="45"/>
        <v>557328.48947761441</v>
      </c>
      <c r="K98" s="11">
        <f t="shared" si="45"/>
        <v>441394.44591577904</v>
      </c>
      <c r="L98" s="11">
        <f t="shared" si="45"/>
        <v>499927.05441528215</v>
      </c>
      <c r="M98" s="11">
        <f t="shared" si="45"/>
        <v>588972.2385350609</v>
      </c>
    </row>
    <row r="99" spans="1:13" ht="15" customHeight="1" x14ac:dyDescent="0.2">
      <c r="A99" s="38" t="s">
        <v>98</v>
      </c>
      <c r="B99" s="3"/>
      <c r="C99" s="3"/>
      <c r="D99" s="9">
        <v>-55916</v>
      </c>
      <c r="E99" s="9">
        <v>-104190</v>
      </c>
      <c r="F99" s="9">
        <v>-115625</v>
      </c>
      <c r="G99" s="9">
        <v>-69347</v>
      </c>
      <c r="H99" s="9">
        <v>-51231</v>
      </c>
      <c r="I99" s="9">
        <f>I129</f>
        <v>20000</v>
      </c>
      <c r="J99" s="9">
        <f t="shared" ref="J99:M99" si="46">J129</f>
        <v>20000</v>
      </c>
      <c r="K99" s="9">
        <f t="shared" si="46"/>
        <v>20000</v>
      </c>
      <c r="L99" s="9">
        <f t="shared" si="46"/>
        <v>120000</v>
      </c>
      <c r="M99" s="9">
        <f t="shared" si="46"/>
        <v>100000</v>
      </c>
    </row>
    <row r="100" spans="1:13" ht="15" customHeight="1" x14ac:dyDescent="0.2">
      <c r="A100" s="8" t="s">
        <v>99</v>
      </c>
      <c r="B100" s="3"/>
      <c r="C100" s="3"/>
      <c r="D100" s="9">
        <v>0</v>
      </c>
      <c r="E100" s="9">
        <v>-2046881</v>
      </c>
      <c r="F100" s="9">
        <v>0</v>
      </c>
      <c r="G100" s="9">
        <v>0</v>
      </c>
      <c r="H100" s="9">
        <v>0</v>
      </c>
      <c r="I100" s="9">
        <v>0</v>
      </c>
      <c r="J100" s="9" t="s">
        <v>254</v>
      </c>
      <c r="K100" s="9">
        <v>-400000</v>
      </c>
      <c r="L100" s="9">
        <v>-200000</v>
      </c>
      <c r="M100" s="9">
        <v>-500000</v>
      </c>
    </row>
    <row r="101" spans="1:13" ht="15" customHeight="1" x14ac:dyDescent="0.2">
      <c r="A101" s="8" t="s">
        <v>100</v>
      </c>
      <c r="B101" s="3"/>
      <c r="C101" s="3"/>
      <c r="D101" s="9">
        <v>6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</row>
    <row r="102" spans="1:13" ht="15" customHeight="1" x14ac:dyDescent="0.2">
      <c r="A102" s="8" t="s">
        <v>101</v>
      </c>
      <c r="B102" s="3"/>
      <c r="C102" s="3"/>
      <c r="D102" s="9">
        <v>-15</v>
      </c>
      <c r="E102" s="9">
        <v>-20</v>
      </c>
      <c r="F102" s="9">
        <v>-46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</row>
    <row r="103" spans="1:13" ht="15" customHeight="1" x14ac:dyDescent="0.2">
      <c r="A103" s="10" t="s">
        <v>102</v>
      </c>
      <c r="B103" s="10"/>
      <c r="C103" s="10"/>
      <c r="D103" s="11">
        <f>SUM(D99:D102)</f>
        <v>-55925</v>
      </c>
      <c r="E103" s="11">
        <f>SUM(E99:E102)</f>
        <v>-2151091</v>
      </c>
      <c r="F103" s="11">
        <f>SUM(F99:F102)</f>
        <v>-115671</v>
      </c>
      <c r="G103" s="11">
        <f>SUM(G99:G102)</f>
        <v>-69347</v>
      </c>
      <c r="H103" s="11">
        <f>SUM(H99:H102)</f>
        <v>-51231</v>
      </c>
      <c r="I103" s="11">
        <f t="shared" ref="I103:M103" si="47">SUM(I99:I102)</f>
        <v>20000</v>
      </c>
      <c r="J103" s="11">
        <f t="shared" si="47"/>
        <v>20000</v>
      </c>
      <c r="K103" s="11">
        <f t="shared" si="47"/>
        <v>-380000</v>
      </c>
      <c r="L103" s="11">
        <f t="shared" si="47"/>
        <v>-80000</v>
      </c>
      <c r="M103" s="11">
        <f t="shared" si="47"/>
        <v>-400000</v>
      </c>
    </row>
    <row r="104" spans="1:13" ht="15" customHeight="1" x14ac:dyDescent="0.2">
      <c r="A104" s="38" t="s">
        <v>103</v>
      </c>
      <c r="B104" s="3"/>
      <c r="C104" s="3"/>
      <c r="D104" s="9">
        <v>700000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</row>
    <row r="105" spans="1:13" ht="15" customHeight="1" x14ac:dyDescent="0.2">
      <c r="A105" s="38" t="s">
        <v>104</v>
      </c>
      <c r="B105" s="3"/>
      <c r="C105" s="3"/>
      <c r="D105" s="9">
        <v>390000</v>
      </c>
      <c r="E105" s="9">
        <v>2169898</v>
      </c>
      <c r="F105" s="9">
        <v>257905</v>
      </c>
      <c r="G105" s="9">
        <v>102156</v>
      </c>
      <c r="H105" s="9">
        <v>819000</v>
      </c>
      <c r="I105" s="9">
        <f>I136+I137</f>
        <v>0</v>
      </c>
      <c r="J105" s="9">
        <f>J135+J136+J137</f>
        <v>0</v>
      </c>
      <c r="K105" s="9">
        <f t="shared" ref="K105:M105" si="48">K135+K136+K137</f>
        <v>350000</v>
      </c>
      <c r="L105" s="9">
        <f t="shared" si="48"/>
        <v>0</v>
      </c>
      <c r="M105" s="9">
        <f t="shared" si="48"/>
        <v>0</v>
      </c>
    </row>
    <row r="106" spans="1:13" ht="15" customHeight="1" x14ac:dyDescent="0.2">
      <c r="A106" s="38" t="s">
        <v>105</v>
      </c>
      <c r="B106" s="3"/>
      <c r="C106" s="3"/>
      <c r="D106" s="9">
        <v>-485000</v>
      </c>
      <c r="E106" s="9">
        <v>-575285</v>
      </c>
      <c r="F106" s="9">
        <v>-923703</v>
      </c>
      <c r="G106" s="9">
        <v>-425405</v>
      </c>
      <c r="H106" s="9">
        <v>-947000</v>
      </c>
      <c r="I106" s="9">
        <f>-I$141-I$142</f>
        <v>-312000</v>
      </c>
      <c r="J106" s="9">
        <f>-J141-J142</f>
        <v>-200000</v>
      </c>
      <c r="K106" s="9">
        <f>-K141-K142</f>
        <v>-200000</v>
      </c>
      <c r="L106" s="9">
        <f>-L141-L142-L138</f>
        <v>-350000</v>
      </c>
      <c r="M106" s="9">
        <f>-M141-M142</f>
        <v>-150000</v>
      </c>
    </row>
    <row r="107" spans="1:13" ht="15" customHeight="1" x14ac:dyDescent="0.2">
      <c r="A107" s="8" t="s">
        <v>106</v>
      </c>
      <c r="B107" s="3"/>
      <c r="C107" s="3"/>
      <c r="D107" s="9">
        <v>-14755</v>
      </c>
      <c r="E107" s="9">
        <v>-53596</v>
      </c>
      <c r="F107" s="9">
        <v>-1736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</row>
    <row r="108" spans="1:13" ht="15" customHeight="1" x14ac:dyDescent="0.2">
      <c r="A108" s="38" t="s">
        <v>107</v>
      </c>
      <c r="B108" s="3"/>
      <c r="C108" s="3"/>
      <c r="D108" s="9">
        <v>-1000000</v>
      </c>
      <c r="E108" s="9">
        <v>0</v>
      </c>
      <c r="F108" s="9">
        <v>-175019</v>
      </c>
      <c r="G108" s="9">
        <v>-552451</v>
      </c>
      <c r="H108" s="9">
        <v>-582320</v>
      </c>
      <c r="I108" s="9">
        <v>-150000</v>
      </c>
      <c r="J108" s="9">
        <v>-150000</v>
      </c>
      <c r="K108" s="9">
        <v>-150000</v>
      </c>
      <c r="L108" s="9">
        <v>-150000</v>
      </c>
      <c r="M108" s="9">
        <v>-150000</v>
      </c>
    </row>
    <row r="109" spans="1:13" ht="15" customHeight="1" x14ac:dyDescent="0.2">
      <c r="A109" s="38" t="s">
        <v>108</v>
      </c>
      <c r="B109" s="3"/>
      <c r="C109" s="3"/>
      <c r="D109" s="9">
        <v>-20119</v>
      </c>
      <c r="E109" s="9">
        <v>-11477</v>
      </c>
      <c r="F109" s="9">
        <v>-17086</v>
      </c>
      <c r="G109" s="9">
        <v>-8239</v>
      </c>
      <c r="H109" s="9">
        <v>-4245</v>
      </c>
      <c r="I109" s="9">
        <v>-9000</v>
      </c>
      <c r="J109" s="9">
        <v>-9000</v>
      </c>
      <c r="K109" s="9">
        <v>-9000</v>
      </c>
      <c r="L109" s="9">
        <v>-9000</v>
      </c>
      <c r="M109" s="9">
        <v>-9000</v>
      </c>
    </row>
    <row r="110" spans="1:13" ht="15" customHeight="1" x14ac:dyDescent="0.2">
      <c r="A110" s="8" t="s">
        <v>109</v>
      </c>
      <c r="B110" s="3"/>
      <c r="C110" s="3"/>
      <c r="D110" s="9">
        <v>236</v>
      </c>
      <c r="E110" s="9">
        <v>119</v>
      </c>
      <c r="F110" s="9">
        <v>0</v>
      </c>
      <c r="G110" s="9">
        <v>-2109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</row>
    <row r="111" spans="1:13" ht="15" customHeight="1" x14ac:dyDescent="0.2">
      <c r="A111" s="10" t="s">
        <v>110</v>
      </c>
      <c r="B111" s="10"/>
      <c r="C111" s="10"/>
      <c r="D111" s="11">
        <f t="shared" ref="D111:M111" si="49">SUM(D104:D110)</f>
        <v>-429638</v>
      </c>
      <c r="E111" s="11">
        <f t="shared" si="49"/>
        <v>1529659</v>
      </c>
      <c r="F111" s="11">
        <f t="shared" si="49"/>
        <v>-859639</v>
      </c>
      <c r="G111" s="11">
        <f t="shared" si="49"/>
        <v>-886048</v>
      </c>
      <c r="H111" s="11">
        <f t="shared" si="49"/>
        <v>-714565</v>
      </c>
      <c r="I111" s="11">
        <f t="shared" si="49"/>
        <v>-471000</v>
      </c>
      <c r="J111" s="11">
        <f t="shared" si="49"/>
        <v>-359000</v>
      </c>
      <c r="K111" s="11">
        <f t="shared" si="49"/>
        <v>-9000</v>
      </c>
      <c r="L111" s="11">
        <f t="shared" si="49"/>
        <v>-509000</v>
      </c>
      <c r="M111" s="11">
        <f t="shared" si="49"/>
        <v>-309000</v>
      </c>
    </row>
    <row r="112" spans="1:13" ht="15" customHeight="1" x14ac:dyDescent="0.2">
      <c r="A112" s="8" t="s">
        <v>111</v>
      </c>
      <c r="B112" s="3"/>
      <c r="C112" s="3"/>
      <c r="D112" s="9">
        <v>-3950</v>
      </c>
      <c r="E112" s="9">
        <v>-3750</v>
      </c>
      <c r="F112" s="9">
        <v>3078</v>
      </c>
      <c r="G112" s="9">
        <v>-6510</v>
      </c>
      <c r="H112" s="9">
        <v>5598</v>
      </c>
      <c r="I112" s="9">
        <f>AVERAGE(F112:H112)</f>
        <v>722</v>
      </c>
      <c r="J112" s="9">
        <f t="shared" ref="J112:M112" si="50">AVERAGE(G112:I112)</f>
        <v>-63.333333333333336</v>
      </c>
      <c r="K112" s="9">
        <f t="shared" si="50"/>
        <v>2085.5555555555557</v>
      </c>
      <c r="L112" s="9">
        <f t="shared" si="50"/>
        <v>914.74074074074076</v>
      </c>
      <c r="M112" s="9">
        <f t="shared" si="50"/>
        <v>978.98765432098764</v>
      </c>
    </row>
    <row r="113" spans="1:13" ht="15" customHeight="1" x14ac:dyDescent="0.2">
      <c r="A113" s="39" t="s">
        <v>112</v>
      </c>
      <c r="B113" s="10"/>
      <c r="C113" s="10"/>
      <c r="D113" s="11">
        <f t="shared" ref="D113:M113" si="51">D98+D103+D111+D112</f>
        <v>77652</v>
      </c>
      <c r="E113" s="11">
        <f t="shared" si="51"/>
        <v>-22040</v>
      </c>
      <c r="F113" s="11">
        <f t="shared" si="51"/>
        <v>-41788</v>
      </c>
      <c r="G113" s="11">
        <f t="shared" si="51"/>
        <v>30581</v>
      </c>
      <c r="H113" s="11">
        <f t="shared" si="51"/>
        <v>-49767</v>
      </c>
      <c r="I113" s="11">
        <f t="shared" si="51"/>
        <v>184632.25581267849</v>
      </c>
      <c r="J113" s="11">
        <f t="shared" si="51"/>
        <v>218265.15614428106</v>
      </c>
      <c r="K113" s="11">
        <f t="shared" si="51"/>
        <v>54480.001471334595</v>
      </c>
      <c r="L113" s="11">
        <f t="shared" si="51"/>
        <v>-88158.204843977102</v>
      </c>
      <c r="M113" s="11">
        <f>M98+M103+M111+M112</f>
        <v>-119048.77381061812</v>
      </c>
    </row>
    <row r="114" spans="1:13" ht="15" customHeight="1" x14ac:dyDescent="0.2">
      <c r="A114" s="8" t="s">
        <v>113</v>
      </c>
      <c r="B114" s="3"/>
      <c r="C114" s="3"/>
      <c r="D114" s="9">
        <v>139273</v>
      </c>
      <c r="E114" s="9">
        <v>216925</v>
      </c>
      <c r="F114" s="9">
        <v>194885</v>
      </c>
      <c r="G114" s="9">
        <v>153097</v>
      </c>
      <c r="H114" s="9">
        <v>183678</v>
      </c>
      <c r="I114" s="9">
        <f>AVERAGE(F114:H114)</f>
        <v>177220</v>
      </c>
      <c r="J114" s="9">
        <f t="shared" ref="J114:M114" si="52">AVERAGE(G114:I114)</f>
        <v>171331.66666666666</v>
      </c>
      <c r="K114" s="9">
        <f t="shared" si="52"/>
        <v>177409.88888888888</v>
      </c>
      <c r="L114" s="9">
        <f t="shared" si="52"/>
        <v>175320.51851851851</v>
      </c>
      <c r="M114" s="9">
        <f t="shared" si="52"/>
        <v>174687.35802469135</v>
      </c>
    </row>
    <row r="115" spans="1:13" ht="15" customHeight="1" x14ac:dyDescent="0.2">
      <c r="A115" s="10" t="s">
        <v>114</v>
      </c>
      <c r="B115" s="10"/>
      <c r="C115" s="10"/>
      <c r="D115" s="11">
        <f t="shared" ref="D115:M115" si="53">D113+D114</f>
        <v>216925</v>
      </c>
      <c r="E115" s="11">
        <f t="shared" si="53"/>
        <v>194885</v>
      </c>
      <c r="F115" s="11">
        <f t="shared" si="53"/>
        <v>153097</v>
      </c>
      <c r="G115" s="11">
        <f t="shared" si="53"/>
        <v>183678</v>
      </c>
      <c r="H115" s="11">
        <f t="shared" si="53"/>
        <v>133911</v>
      </c>
      <c r="I115" s="11">
        <f t="shared" si="53"/>
        <v>361852.25581267849</v>
      </c>
      <c r="J115" s="11">
        <f t="shared" si="53"/>
        <v>389596.82281094772</v>
      </c>
      <c r="K115" s="11">
        <f t="shared" si="53"/>
        <v>231889.89036022348</v>
      </c>
      <c r="L115" s="11">
        <f t="shared" si="53"/>
        <v>87162.313674541409</v>
      </c>
      <c r="M115" s="11">
        <f t="shared" si="53"/>
        <v>55638.584214073227</v>
      </c>
    </row>
    <row r="116" spans="1:13" ht="15" customHeight="1" x14ac:dyDescent="0.2">
      <c r="A116" s="8" t="s">
        <v>115</v>
      </c>
      <c r="B116" s="3"/>
      <c r="C116" s="3"/>
      <c r="D116" s="13">
        <f>D115-(D37+D38+D49)</f>
        <v>0</v>
      </c>
      <c r="E116" s="13">
        <f>E115-(E37+E38+E49)</f>
        <v>0</v>
      </c>
      <c r="F116" s="13">
        <f>F115-(F37+F38+F49)</f>
        <v>0</v>
      </c>
      <c r="G116" s="13">
        <f>G115-(G37+G38+G49)</f>
        <v>0</v>
      </c>
      <c r="H116" s="13">
        <f>H115-(H37+H38+H49)</f>
        <v>0</v>
      </c>
      <c r="I116" s="13">
        <f t="shared" ref="I116:L116" si="54">I115-(I37+I38+I49)</f>
        <v>-3519</v>
      </c>
      <c r="J116" s="13">
        <f t="shared" si="54"/>
        <v>-3423</v>
      </c>
      <c r="K116" s="13">
        <f t="shared" si="54"/>
        <v>-3499.666666666657</v>
      </c>
      <c r="L116" s="13">
        <f t="shared" si="54"/>
        <v>-3480.555555555562</v>
      </c>
      <c r="M116" s="13">
        <f t="shared" ref="M116" si="55">M115-(M37+M38+M49)</f>
        <v>-3467.7407407407372</v>
      </c>
    </row>
    <row r="118" spans="1:13" ht="15" customHeight="1" x14ac:dyDescent="0.2">
      <c r="A118" s="34" t="s">
        <v>116</v>
      </c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</row>
    <row r="119" spans="1:13" ht="15" customHeight="1" x14ac:dyDescent="0.2">
      <c r="A119" s="19"/>
      <c r="B119" s="19"/>
      <c r="C119" s="20"/>
      <c r="D119" s="21"/>
      <c r="E119" s="21"/>
      <c r="F119" s="21"/>
      <c r="G119" s="21"/>
      <c r="H119" s="21"/>
      <c r="I119" s="19"/>
      <c r="J119" s="19"/>
      <c r="K119" s="19"/>
      <c r="L119" s="19"/>
      <c r="M119" s="19"/>
    </row>
    <row r="120" spans="1:13" ht="15" customHeight="1" x14ac:dyDescent="0.2">
      <c r="A120" s="18" t="s">
        <v>117</v>
      </c>
      <c r="B120" s="19"/>
      <c r="C120" s="20"/>
      <c r="D120" s="21"/>
      <c r="E120" s="21"/>
      <c r="F120" s="21"/>
      <c r="G120" s="21"/>
      <c r="H120" s="21"/>
      <c r="I120" s="19"/>
      <c r="J120" s="19"/>
      <c r="K120" s="19"/>
      <c r="L120" s="19"/>
      <c r="M120" s="19"/>
    </row>
    <row r="121" spans="1:13" ht="15" customHeight="1" x14ac:dyDescent="0.2">
      <c r="A121" s="19" t="s">
        <v>118</v>
      </c>
      <c r="B121" s="19"/>
      <c r="C121" s="20"/>
      <c r="D121" s="19">
        <f t="shared" ref="D121:M121" si="56">D39</f>
        <v>182629</v>
      </c>
      <c r="E121" s="19">
        <f t="shared" si="56"/>
        <v>295594</v>
      </c>
      <c r="F121" s="19">
        <f t="shared" si="56"/>
        <v>305747</v>
      </c>
      <c r="G121" s="19">
        <f t="shared" si="56"/>
        <v>257657</v>
      </c>
      <c r="H121" s="19">
        <f t="shared" si="56"/>
        <v>278191</v>
      </c>
      <c r="I121" s="19">
        <f t="shared" si="56"/>
        <v>297948.59372961527</v>
      </c>
      <c r="J121" s="19">
        <f t="shared" si="56"/>
        <v>300074.83021331503</v>
      </c>
      <c r="K121" s="19">
        <f t="shared" si="56"/>
        <v>306076.32681758137</v>
      </c>
      <c r="L121" s="19">
        <f t="shared" si="56"/>
        <v>312197.85335393297</v>
      </c>
      <c r="M121" s="19">
        <f t="shared" si="56"/>
        <v>321563.78895455098</v>
      </c>
    </row>
    <row r="122" spans="1:13" ht="15" customHeight="1" x14ac:dyDescent="0.2">
      <c r="A122" s="19" t="s">
        <v>119</v>
      </c>
      <c r="B122" s="19"/>
      <c r="C122" s="20"/>
      <c r="D122" s="19">
        <f t="shared" ref="D122:M122" si="57">D40</f>
        <v>213520</v>
      </c>
      <c r="E122" s="19">
        <f t="shared" si="57"/>
        <v>471551</v>
      </c>
      <c r="F122" s="19">
        <f t="shared" si="57"/>
        <v>385054</v>
      </c>
      <c r="G122" s="19">
        <f t="shared" si="57"/>
        <v>356254</v>
      </c>
      <c r="H122" s="19">
        <f t="shared" si="57"/>
        <v>368687</v>
      </c>
      <c r="I122" s="19">
        <f t="shared" si="57"/>
        <v>393584.349292745</v>
      </c>
      <c r="J122" s="19">
        <f t="shared" si="57"/>
        <v>396765.6088376054</v>
      </c>
      <c r="K122" s="19">
        <f t="shared" si="57"/>
        <v>414336.65722898516</v>
      </c>
      <c r="L122" s="19">
        <f t="shared" si="57"/>
        <v>432451.84131248487</v>
      </c>
      <c r="M122" s="19">
        <f t="shared" si="57"/>
        <v>455548.70101894729</v>
      </c>
    </row>
    <row r="123" spans="1:13" ht="15" customHeight="1" x14ac:dyDescent="0.2">
      <c r="A123" s="19" t="s">
        <v>120</v>
      </c>
      <c r="B123" s="19"/>
      <c r="C123" s="20"/>
      <c r="D123" s="19">
        <f t="shared" ref="D123:M123" si="58">D55</f>
        <v>162145</v>
      </c>
      <c r="E123" s="19">
        <f t="shared" si="58"/>
        <v>230821</v>
      </c>
      <c r="F123" s="19">
        <f t="shared" si="58"/>
        <v>260978</v>
      </c>
      <c r="G123" s="19">
        <f t="shared" si="58"/>
        <v>264901</v>
      </c>
      <c r="H123" s="19">
        <f t="shared" si="58"/>
        <v>266090</v>
      </c>
      <c r="I123" s="19">
        <f t="shared" si="58"/>
        <v>263589.97868518339</v>
      </c>
      <c r="J123" s="19">
        <f t="shared" si="58"/>
        <v>266066.34945580602</v>
      </c>
      <c r="K123" s="19">
        <f t="shared" si="58"/>
        <v>277849.28778884886</v>
      </c>
      <c r="L123" s="19">
        <f t="shared" si="58"/>
        <v>289997.11711543106</v>
      </c>
      <c r="M123" s="19">
        <f t="shared" si="58"/>
        <v>305485.59950682346</v>
      </c>
    </row>
    <row r="124" spans="1:13" ht="15" customHeight="1" x14ac:dyDescent="0.2">
      <c r="A124" s="22" t="s">
        <v>121</v>
      </c>
      <c r="B124" s="22"/>
      <c r="C124" s="35"/>
      <c r="D124" s="22">
        <f t="shared" ref="D124:H124" si="59">D121+D122-D123</f>
        <v>234004</v>
      </c>
      <c r="E124" s="22">
        <f t="shared" si="59"/>
        <v>536324</v>
      </c>
      <c r="F124" s="22">
        <f t="shared" si="59"/>
        <v>429823</v>
      </c>
      <c r="G124" s="22">
        <f t="shared" si="59"/>
        <v>349010</v>
      </c>
      <c r="H124" s="22">
        <f t="shared" si="59"/>
        <v>380788</v>
      </c>
      <c r="I124" s="22">
        <f t="shared" ref="I124:M124" si="60">I121+I122-I123</f>
        <v>427942.96433717693</v>
      </c>
      <c r="J124" s="22">
        <f t="shared" si="60"/>
        <v>430774.0895951144</v>
      </c>
      <c r="K124" s="22">
        <f t="shared" si="60"/>
        <v>442563.69625771767</v>
      </c>
      <c r="L124" s="22">
        <f t="shared" si="60"/>
        <v>454652.57755098672</v>
      </c>
      <c r="M124" s="22">
        <f t="shared" si="60"/>
        <v>471626.89046667481</v>
      </c>
    </row>
    <row r="125" spans="1:13" ht="15" customHeight="1" x14ac:dyDescent="0.2">
      <c r="A125" s="19" t="s">
        <v>122</v>
      </c>
      <c r="B125" s="19"/>
      <c r="C125" s="20"/>
      <c r="D125" s="19">
        <f t="shared" ref="D125:H125" si="61">D124-C124</f>
        <v>234004</v>
      </c>
      <c r="E125" s="19">
        <f>E124-D124</f>
        <v>302320</v>
      </c>
      <c r="F125" s="19">
        <f>F124-E124</f>
        <v>-106501</v>
      </c>
      <c r="G125" s="19">
        <f t="shared" si="61"/>
        <v>-80813</v>
      </c>
      <c r="H125" s="19">
        <f t="shared" si="61"/>
        <v>31778</v>
      </c>
      <c r="I125" s="19">
        <f t="shared" ref="I125" si="62">I124-H124</f>
        <v>47154.964337176934</v>
      </c>
      <c r="J125" s="19">
        <f t="shared" ref="J125" si="63">J124-I124</f>
        <v>2831.1252579374705</v>
      </c>
      <c r="K125" s="19">
        <f t="shared" ref="K125" si="64">K124-J124</f>
        <v>11789.60666260327</v>
      </c>
      <c r="L125" s="19">
        <f t="shared" ref="L125" si="65">L124-K124</f>
        <v>12088.881293269049</v>
      </c>
      <c r="M125" s="19">
        <f t="shared" ref="M125" si="66">M124-L124</f>
        <v>16974.31291568809</v>
      </c>
    </row>
    <row r="126" spans="1:13" ht="15" customHeight="1" x14ac:dyDescent="0.2">
      <c r="A126" s="19"/>
      <c r="B126" s="19"/>
      <c r="C126" s="20"/>
      <c r="D126" s="21"/>
      <c r="E126" s="21"/>
      <c r="F126" s="21"/>
      <c r="G126" s="21"/>
      <c r="H126" s="21"/>
      <c r="I126" s="21"/>
      <c r="J126" s="21"/>
      <c r="K126" s="21"/>
      <c r="L126" s="21"/>
      <c r="M126" s="21"/>
    </row>
    <row r="127" spans="1:13" ht="15" customHeight="1" x14ac:dyDescent="0.2">
      <c r="A127" s="18" t="s">
        <v>123</v>
      </c>
      <c r="B127" s="19"/>
      <c r="C127" s="20"/>
      <c r="D127" s="21"/>
      <c r="E127" s="21"/>
      <c r="F127" s="21"/>
      <c r="G127" s="21"/>
      <c r="H127" s="21"/>
      <c r="I127" s="21"/>
      <c r="J127" s="21"/>
      <c r="K127" s="21"/>
      <c r="L127" s="21"/>
      <c r="M127" s="21"/>
    </row>
    <row r="128" spans="1:13" ht="15" customHeight="1" x14ac:dyDescent="0.2">
      <c r="A128" s="19" t="s">
        <v>124</v>
      </c>
      <c r="B128" s="19"/>
      <c r="C128" s="20"/>
      <c r="D128" s="19">
        <v>71881</v>
      </c>
      <c r="E128" s="19">
        <f t="shared" ref="E128:H128" si="67">D131</f>
        <v>95821</v>
      </c>
      <c r="F128" s="19">
        <f t="shared" si="67"/>
        <v>160782</v>
      </c>
      <c r="G128" s="19">
        <f t="shared" si="67"/>
        <v>222103</v>
      </c>
      <c r="H128" s="19">
        <f t="shared" si="67"/>
        <v>221610</v>
      </c>
      <c r="I128" s="19">
        <f>H131</f>
        <v>193559</v>
      </c>
      <c r="J128" s="19">
        <f t="shared" ref="J128:M128" si="68">I131</f>
        <v>39355.899999999994</v>
      </c>
      <c r="K128" s="19">
        <f t="shared" si="68"/>
        <v>23935.589999999997</v>
      </c>
      <c r="L128" s="19">
        <f t="shared" si="68"/>
        <v>36754.913</v>
      </c>
      <c r="M128" s="19">
        <f t="shared" si="68"/>
        <v>145728.43909999999</v>
      </c>
    </row>
    <row r="129" spans="1:13" ht="15" customHeight="1" x14ac:dyDescent="0.2">
      <c r="A129" s="19" t="s">
        <v>125</v>
      </c>
      <c r="B129" s="19"/>
      <c r="C129" s="20"/>
      <c r="D129" s="19">
        <f>-D99</f>
        <v>55916</v>
      </c>
      <c r="E129" s="19">
        <f>-E99</f>
        <v>104190</v>
      </c>
      <c r="F129" s="19">
        <f>-F99</f>
        <v>115625</v>
      </c>
      <c r="G129" s="19">
        <f>-G99</f>
        <v>69347</v>
      </c>
      <c r="H129" s="19">
        <f>-H99</f>
        <v>51231</v>
      </c>
      <c r="I129" s="19">
        <v>20000</v>
      </c>
      <c r="J129" s="19">
        <v>20000</v>
      </c>
      <c r="K129" s="19">
        <v>20000</v>
      </c>
      <c r="L129" s="19">
        <f>L15</f>
        <v>120000</v>
      </c>
      <c r="M129" s="19">
        <f>M15</f>
        <v>100000</v>
      </c>
    </row>
    <row r="130" spans="1:13" ht="15" customHeight="1" x14ac:dyDescent="0.2">
      <c r="A130" s="19" t="s">
        <v>126</v>
      </c>
      <c r="B130" s="19"/>
      <c r="C130" s="36"/>
      <c r="D130" s="19">
        <f>D81</f>
        <v>31976</v>
      </c>
      <c r="E130" s="19">
        <f>E81</f>
        <v>39229</v>
      </c>
      <c r="F130" s="19">
        <f>F81</f>
        <v>54304</v>
      </c>
      <c r="G130" s="19">
        <f>G81</f>
        <v>69840</v>
      </c>
      <c r="H130" s="19">
        <f>H81</f>
        <v>79282</v>
      </c>
      <c r="I130" s="19">
        <f>I128*I9</f>
        <v>174203.1</v>
      </c>
      <c r="J130" s="19">
        <f>J128*J9</f>
        <v>35420.31</v>
      </c>
      <c r="K130" s="19">
        <f>K128*K9</f>
        <v>7180.6769999999988</v>
      </c>
      <c r="L130" s="19">
        <f>L128*L9</f>
        <v>11026.473899999999</v>
      </c>
      <c r="M130" s="19">
        <f>M128*M9</f>
        <v>43718.531729999995</v>
      </c>
    </row>
    <row r="131" spans="1:13" ht="15" customHeight="1" x14ac:dyDescent="0.2">
      <c r="A131" s="22" t="s">
        <v>127</v>
      </c>
      <c r="B131" s="22"/>
      <c r="C131" s="35"/>
      <c r="D131" s="22">
        <f t="shared" ref="D131:M131" si="69">D128+D129-D130</f>
        <v>95821</v>
      </c>
      <c r="E131" s="22">
        <f t="shared" si="69"/>
        <v>160782</v>
      </c>
      <c r="F131" s="22">
        <f t="shared" si="69"/>
        <v>222103</v>
      </c>
      <c r="G131" s="22">
        <f t="shared" si="69"/>
        <v>221610</v>
      </c>
      <c r="H131" s="22">
        <f t="shared" si="69"/>
        <v>193559</v>
      </c>
      <c r="I131" s="22">
        <f t="shared" si="69"/>
        <v>39355.899999999994</v>
      </c>
      <c r="J131" s="22">
        <f t="shared" si="69"/>
        <v>23935.589999999997</v>
      </c>
      <c r="K131" s="22">
        <f t="shared" si="69"/>
        <v>36754.913</v>
      </c>
      <c r="L131" s="22">
        <f t="shared" si="69"/>
        <v>145728.43909999999</v>
      </c>
      <c r="M131" s="22">
        <f t="shared" si="69"/>
        <v>202009.90737</v>
      </c>
    </row>
    <row r="132" spans="1:13" ht="15" customHeight="1" x14ac:dyDescent="0.2">
      <c r="A132" s="19"/>
      <c r="B132" s="19"/>
      <c r="C132" s="20"/>
      <c r="D132" s="21"/>
      <c r="E132" s="21"/>
      <c r="F132" s="21"/>
      <c r="G132" s="21"/>
      <c r="H132" s="21"/>
      <c r="I132" s="21"/>
      <c r="J132" s="21"/>
      <c r="K132" s="21"/>
      <c r="L132" s="21"/>
      <c r="M132" s="21"/>
    </row>
    <row r="133" spans="1:13" ht="15" customHeight="1" x14ac:dyDescent="0.2">
      <c r="A133" s="18" t="s">
        <v>128</v>
      </c>
      <c r="B133" s="19"/>
      <c r="C133" s="20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15" customHeight="1" x14ac:dyDescent="0.2">
      <c r="A134" s="19" t="s">
        <v>129</v>
      </c>
      <c r="B134" s="19"/>
      <c r="C134" s="20"/>
      <c r="D134" s="21">
        <v>180000</v>
      </c>
      <c r="E134" s="19">
        <f>D143</f>
        <v>785000</v>
      </c>
      <c r="F134" s="19">
        <f t="shared" ref="F134:H134" si="70">E143</f>
        <v>2379613</v>
      </c>
      <c r="G134" s="19">
        <f t="shared" si="70"/>
        <v>1713815</v>
      </c>
      <c r="H134" s="19">
        <f t="shared" si="70"/>
        <v>1390566</v>
      </c>
      <c r="I134" s="19">
        <f>H143</f>
        <v>1262566</v>
      </c>
      <c r="J134" s="19">
        <f t="shared" ref="J134:M134" si="71">I143</f>
        <v>950566</v>
      </c>
      <c r="K134" s="19">
        <f t="shared" si="71"/>
        <v>750566</v>
      </c>
      <c r="L134" s="19">
        <f t="shared" si="71"/>
        <v>900566</v>
      </c>
      <c r="M134" s="19">
        <f t="shared" si="71"/>
        <v>550566</v>
      </c>
    </row>
    <row r="135" spans="1:13" ht="15" customHeight="1" x14ac:dyDescent="0.2">
      <c r="A135" s="19" t="s">
        <v>130</v>
      </c>
      <c r="B135" s="19"/>
      <c r="C135" s="20"/>
      <c r="D135" s="21">
        <v>700000</v>
      </c>
      <c r="E135" s="19">
        <v>0</v>
      </c>
      <c r="F135" s="19">
        <v>0</v>
      </c>
      <c r="G135" s="19">
        <v>0</v>
      </c>
      <c r="H135" s="19">
        <v>0</v>
      </c>
      <c r="I135" s="19">
        <v>0</v>
      </c>
      <c r="J135" s="19">
        <v>0</v>
      </c>
      <c r="K135" s="19">
        <v>0</v>
      </c>
      <c r="L135" s="19">
        <v>0</v>
      </c>
      <c r="M135" s="19">
        <v>0</v>
      </c>
    </row>
    <row r="136" spans="1:13" ht="15" customHeight="1" x14ac:dyDescent="0.2">
      <c r="A136" s="19" t="s">
        <v>131</v>
      </c>
      <c r="B136" s="19"/>
      <c r="C136" s="20"/>
      <c r="D136" s="21"/>
      <c r="E136" s="19">
        <f>E139-D139+E141</f>
        <v>2000000</v>
      </c>
      <c r="F136" s="19">
        <f>F139-E139+F141</f>
        <v>0</v>
      </c>
      <c r="G136" s="19">
        <f>G139-F139+G141</f>
        <v>0</v>
      </c>
      <c r="H136" s="19">
        <f>H139-G139+H141</f>
        <v>0</v>
      </c>
      <c r="I136" s="19">
        <f t="shared" ref="I136:M136" si="72">I139-H139+I141</f>
        <v>0</v>
      </c>
      <c r="J136" s="19">
        <f t="shared" si="72"/>
        <v>0</v>
      </c>
      <c r="K136" s="19">
        <v>350000</v>
      </c>
      <c r="L136" s="19"/>
      <c r="M136" s="19">
        <f t="shared" si="72"/>
        <v>0</v>
      </c>
    </row>
    <row r="137" spans="1:13" ht="15" customHeight="1" x14ac:dyDescent="0.2">
      <c r="A137" s="19" t="s">
        <v>132</v>
      </c>
      <c r="B137" s="19"/>
      <c r="C137" s="20"/>
      <c r="D137" s="21">
        <f>D105</f>
        <v>390000</v>
      </c>
      <c r="E137" s="19">
        <f>E105-E136</f>
        <v>169898</v>
      </c>
      <c r="F137" s="19">
        <f>F105-F136</f>
        <v>257905</v>
      </c>
      <c r="G137" s="19">
        <f>G105-G136</f>
        <v>102156</v>
      </c>
      <c r="H137" s="19">
        <f>H105-H136</f>
        <v>819000</v>
      </c>
      <c r="I137" s="19"/>
      <c r="J137" s="19">
        <v>0</v>
      </c>
      <c r="K137" s="19"/>
      <c r="L137" s="19">
        <v>0</v>
      </c>
      <c r="M137" s="19">
        <v>0</v>
      </c>
    </row>
    <row r="138" spans="1:13" ht="15" customHeight="1" x14ac:dyDescent="0.2">
      <c r="A138" s="40" t="s">
        <v>133</v>
      </c>
      <c r="B138" s="19"/>
      <c r="C138" s="20"/>
      <c r="D138" s="21">
        <v>700000</v>
      </c>
      <c r="E138" s="21">
        <v>700000</v>
      </c>
      <c r="F138" s="21">
        <v>700000</v>
      </c>
      <c r="G138" s="21">
        <v>700000</v>
      </c>
      <c r="H138" s="21">
        <v>700000</v>
      </c>
      <c r="I138" s="21">
        <v>700000</v>
      </c>
      <c r="J138" s="21">
        <v>700000</v>
      </c>
      <c r="K138" s="21">
        <v>700000</v>
      </c>
      <c r="L138" s="21">
        <v>350000</v>
      </c>
      <c r="M138" s="21">
        <v>350000</v>
      </c>
    </row>
    <row r="139" spans="1:13" ht="15" customHeight="1" x14ac:dyDescent="0.2">
      <c r="A139" s="40" t="s">
        <v>134</v>
      </c>
      <c r="B139" s="19"/>
      <c r="C139" s="20"/>
      <c r="D139" s="21">
        <v>0</v>
      </c>
      <c r="E139" s="21">
        <v>1675000</v>
      </c>
      <c r="F139" s="21">
        <v>820000</v>
      </c>
      <c r="G139" s="21">
        <v>500000</v>
      </c>
      <c r="H139" s="21">
        <v>500000</v>
      </c>
      <c r="I139" s="19">
        <v>250000</v>
      </c>
      <c r="J139" s="19">
        <v>50000</v>
      </c>
      <c r="K139" s="19">
        <v>200000</v>
      </c>
      <c r="L139" s="19">
        <v>200000</v>
      </c>
      <c r="M139" s="19">
        <v>50000</v>
      </c>
    </row>
    <row r="140" spans="1:13" ht="15" customHeight="1" x14ac:dyDescent="0.2">
      <c r="A140" s="40" t="s">
        <v>135</v>
      </c>
      <c r="B140" s="19"/>
      <c r="C140" s="20"/>
      <c r="D140" s="21">
        <v>85000</v>
      </c>
      <c r="E140" s="21">
        <v>0</v>
      </c>
      <c r="F140" s="21">
        <v>190000</v>
      </c>
      <c r="G140" s="21">
        <v>190000</v>
      </c>
      <c r="H140" s="21">
        <v>62000</v>
      </c>
      <c r="I140" s="19">
        <v>0</v>
      </c>
      <c r="J140" s="19">
        <v>0</v>
      </c>
      <c r="K140" s="19">
        <v>0</v>
      </c>
      <c r="L140" s="19">
        <v>0</v>
      </c>
      <c r="M140" s="19">
        <v>0</v>
      </c>
    </row>
    <row r="141" spans="1:13" ht="15" customHeight="1" x14ac:dyDescent="0.2">
      <c r="A141" s="42" t="s">
        <v>136</v>
      </c>
      <c r="B141" s="19"/>
      <c r="C141" s="20"/>
      <c r="D141" s="21"/>
      <c r="E141" s="21">
        <f>2000000-E139</f>
        <v>325000</v>
      </c>
      <c r="F141" s="21">
        <f>E139-F139</f>
        <v>855000</v>
      </c>
      <c r="G141" s="21">
        <f>F139-G139</f>
        <v>320000</v>
      </c>
      <c r="H141" s="21">
        <f>G139-H139</f>
        <v>0</v>
      </c>
      <c r="I141" s="21">
        <f>H139-I139</f>
        <v>250000</v>
      </c>
      <c r="J141" s="21">
        <f>I139-J139</f>
        <v>200000</v>
      </c>
      <c r="K141" s="21">
        <f>K136+J139-K139</f>
        <v>200000</v>
      </c>
      <c r="L141" s="21">
        <f>L136+K139-L139</f>
        <v>0</v>
      </c>
      <c r="M141" s="21">
        <f>L139-M139</f>
        <v>150000</v>
      </c>
    </row>
    <row r="142" spans="1:13" ht="15" customHeight="1" x14ac:dyDescent="0.2">
      <c r="A142" s="42" t="s">
        <v>137</v>
      </c>
      <c r="B142" s="19"/>
      <c r="C142" s="20"/>
      <c r="D142" s="21">
        <f>-D106</f>
        <v>485000</v>
      </c>
      <c r="E142" s="21">
        <f>-E106-E141</f>
        <v>250285</v>
      </c>
      <c r="F142" s="21">
        <f>-F106-F141</f>
        <v>68703</v>
      </c>
      <c r="G142" s="21">
        <f>-G106-G141</f>
        <v>105405</v>
      </c>
      <c r="H142" s="21">
        <f>-H106-H141</f>
        <v>947000</v>
      </c>
      <c r="I142" s="21">
        <v>62000</v>
      </c>
      <c r="J142" s="21">
        <v>0</v>
      </c>
      <c r="K142" s="21">
        <v>0</v>
      </c>
      <c r="L142" s="21">
        <v>0</v>
      </c>
      <c r="M142" s="21">
        <v>0</v>
      </c>
    </row>
    <row r="143" spans="1:13" ht="15" customHeight="1" x14ac:dyDescent="0.2">
      <c r="A143" s="22" t="s">
        <v>138</v>
      </c>
      <c r="B143" s="22"/>
      <c r="C143" s="35"/>
      <c r="D143" s="22">
        <f t="shared" ref="D143:M143" si="73">D134+D135+D136+D137-D141-D142</f>
        <v>785000</v>
      </c>
      <c r="E143" s="22">
        <f t="shared" si="73"/>
        <v>2379613</v>
      </c>
      <c r="F143" s="22">
        <f t="shared" si="73"/>
        <v>1713815</v>
      </c>
      <c r="G143" s="22">
        <f t="shared" si="73"/>
        <v>1390566</v>
      </c>
      <c r="H143" s="22">
        <f t="shared" si="73"/>
        <v>1262566</v>
      </c>
      <c r="I143" s="22">
        <f t="shared" si="73"/>
        <v>950566</v>
      </c>
      <c r="J143" s="22">
        <f t="shared" si="73"/>
        <v>750566</v>
      </c>
      <c r="K143" s="22">
        <f t="shared" si="73"/>
        <v>900566</v>
      </c>
      <c r="L143" s="22">
        <f>L134+L135+L136+L137-L141-L142-L138</f>
        <v>550566</v>
      </c>
      <c r="M143" s="22">
        <f t="shared" si="73"/>
        <v>400566</v>
      </c>
    </row>
    <row r="144" spans="1:13" ht="15" customHeight="1" x14ac:dyDescent="0.2">
      <c r="A144" s="19" t="s">
        <v>139</v>
      </c>
      <c r="B144" s="19"/>
      <c r="C144" s="36"/>
      <c r="D144" s="19">
        <f>-D29</f>
        <v>21647</v>
      </c>
      <c r="E144" s="19">
        <f>-E29</f>
        <v>136158</v>
      </c>
      <c r="F144" s="19">
        <f>-F29</f>
        <v>161351</v>
      </c>
      <c r="G144" s="19">
        <f>-G29</f>
        <v>109264</v>
      </c>
      <c r="H144" s="19">
        <f>-H29</f>
        <v>88287</v>
      </c>
      <c r="I144" s="19">
        <f>I145+I146+I147+I148</f>
        <v>42453.442806687963</v>
      </c>
      <c r="J144" s="19">
        <f t="shared" ref="J144:L144" si="74">J145+J146+J147+J148</f>
        <v>38710.844834674339</v>
      </c>
      <c r="K144" s="19">
        <f t="shared" si="74"/>
        <v>38647.493483606253</v>
      </c>
      <c r="L144" s="19">
        <f t="shared" si="74"/>
        <v>49353.54649753296</v>
      </c>
      <c r="M144" s="19">
        <f>M145+M146+M147+M148</f>
        <v>17941.553472477965</v>
      </c>
    </row>
    <row r="145" spans="1:13" ht="15" customHeight="1" x14ac:dyDescent="0.2">
      <c r="A145" s="171" t="s">
        <v>253</v>
      </c>
      <c r="B145" s="19"/>
      <c r="C145" s="20"/>
      <c r="D145" s="21">
        <v>0</v>
      </c>
      <c r="E145" s="21">
        <f>350000*4.64%</f>
        <v>16239.999999999998</v>
      </c>
      <c r="F145" s="21">
        <f t="shared" ref="F145:K145" si="75">350000*4.64%</f>
        <v>16239.999999999998</v>
      </c>
      <c r="G145" s="21">
        <f t="shared" si="75"/>
        <v>16239.999999999998</v>
      </c>
      <c r="H145" s="21">
        <f t="shared" si="75"/>
        <v>16239.999999999998</v>
      </c>
      <c r="I145" s="21">
        <f t="shared" si="75"/>
        <v>16239.999999999998</v>
      </c>
      <c r="J145" s="21">
        <f t="shared" si="75"/>
        <v>16239.999999999998</v>
      </c>
      <c r="K145" s="21">
        <f t="shared" si="75"/>
        <v>16239.999999999998</v>
      </c>
      <c r="L145" s="21">
        <f>(350000*4.64%)</f>
        <v>16239.999999999998</v>
      </c>
      <c r="M145" s="19">
        <v>0</v>
      </c>
    </row>
    <row r="146" spans="1:13" ht="15" customHeight="1" x14ac:dyDescent="0.2">
      <c r="A146" s="42" t="s">
        <v>140</v>
      </c>
      <c r="B146" s="19"/>
      <c r="C146" s="20"/>
      <c r="D146" s="21">
        <v>0</v>
      </c>
      <c r="E146" s="21">
        <f>350000*4.35%</f>
        <v>15224.999999999998</v>
      </c>
      <c r="F146" s="21">
        <f t="shared" ref="F146:M146" si="76">350000*4.35%</f>
        <v>15224.999999999998</v>
      </c>
      <c r="G146" s="21">
        <f t="shared" si="76"/>
        <v>15224.999999999998</v>
      </c>
      <c r="H146" s="21">
        <f t="shared" si="76"/>
        <v>15224.999999999998</v>
      </c>
      <c r="I146" s="21">
        <f t="shared" si="76"/>
        <v>15224.999999999998</v>
      </c>
      <c r="J146" s="21">
        <f t="shared" si="76"/>
        <v>15224.999999999998</v>
      </c>
      <c r="K146" s="21">
        <f t="shared" si="76"/>
        <v>15224.999999999998</v>
      </c>
      <c r="L146" s="21">
        <f t="shared" si="76"/>
        <v>15224.999999999998</v>
      </c>
      <c r="M146" s="21">
        <f t="shared" si="76"/>
        <v>15224.999999999998</v>
      </c>
    </row>
    <row r="147" spans="1:13" ht="15" customHeight="1" x14ac:dyDescent="0.2">
      <c r="A147" s="42" t="s">
        <v>141</v>
      </c>
      <c r="D147">
        <v>0</v>
      </c>
      <c r="E147" s="43">
        <f t="shared" ref="E147:M147" si="77">((E139+D139)/2)*E10</f>
        <v>88721.282823523754</v>
      </c>
      <c r="F147" s="43">
        <f t="shared" si="77"/>
        <v>117523.97257262129</v>
      </c>
      <c r="G147" s="43">
        <f t="shared" si="77"/>
        <v>59838.750462652621</v>
      </c>
      <c r="H147" s="43">
        <f t="shared" si="77"/>
        <v>45136.088215738979</v>
      </c>
      <c r="I147" s="43">
        <f t="shared" si="77"/>
        <v>10149.423774650213</v>
      </c>
      <c r="J147" s="43">
        <f t="shared" si="77"/>
        <v>7245.8448346743398</v>
      </c>
      <c r="K147" s="43">
        <f t="shared" si="77"/>
        <v>7182.4934836062539</v>
      </c>
      <c r="L147" s="43">
        <f t="shared" si="77"/>
        <v>17888.546497532963</v>
      </c>
      <c r="M147" s="43">
        <f t="shared" si="77"/>
        <v>2716.5534724779673</v>
      </c>
    </row>
    <row r="148" spans="1:13" ht="15" customHeight="1" x14ac:dyDescent="0.2">
      <c r="A148" s="42" t="s">
        <v>142</v>
      </c>
      <c r="E148" s="43">
        <f t="shared" ref="E148:M148" si="78">((E140+D140)/2)*E10</f>
        <v>4502.2740537310565</v>
      </c>
      <c r="F148" s="43">
        <f t="shared" si="78"/>
        <v>8949.721358235689</v>
      </c>
      <c r="G148" s="43">
        <f t="shared" si="78"/>
        <v>17226.306951369694</v>
      </c>
      <c r="H148" s="43">
        <f t="shared" si="78"/>
        <v>11374.294230366222</v>
      </c>
      <c r="I148" s="43">
        <f t="shared" si="78"/>
        <v>839.01903203775089</v>
      </c>
      <c r="J148" s="43">
        <f t="shared" si="78"/>
        <v>0</v>
      </c>
      <c r="K148" s="43">
        <f t="shared" si="78"/>
        <v>0</v>
      </c>
      <c r="L148" s="43">
        <f t="shared" si="78"/>
        <v>0</v>
      </c>
      <c r="M148" s="43">
        <f t="shared" si="78"/>
        <v>0</v>
      </c>
    </row>
    <row r="150" spans="1:13" ht="15" customHeight="1" x14ac:dyDescent="0.2">
      <c r="E150" s="43"/>
      <c r="F150" s="43"/>
      <c r="G150" s="43"/>
      <c r="H150" s="43"/>
    </row>
  </sheetData>
  <mergeCells count="4">
    <mergeCell ref="A36:H36"/>
    <mergeCell ref="A54:H54"/>
    <mergeCell ref="A68:H68"/>
    <mergeCell ref="A79:H7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showGridLines="0" workbookViewId="0"/>
  </sheetViews>
  <sheetFormatPr baseColWidth="10" defaultColWidth="8.6640625" defaultRowHeight="16" x14ac:dyDescent="0.2"/>
  <cols>
    <col min="1" max="1" width="24" customWidth="1"/>
    <col min="2" max="2" width="26" customWidth="1"/>
    <col min="3" max="3" width="56" customWidth="1"/>
    <col min="4" max="4" width="64" customWidth="1"/>
  </cols>
  <sheetData>
    <row r="1" spans="1:4" ht="17.25" customHeight="1" x14ac:dyDescent="0.2">
      <c r="A1" s="14" t="s">
        <v>147</v>
      </c>
    </row>
    <row r="2" spans="1:4" ht="15" customHeight="1" x14ac:dyDescent="0.2">
      <c r="A2" s="15" t="s">
        <v>148</v>
      </c>
      <c r="B2" s="15" t="s">
        <v>149</v>
      </c>
      <c r="C2" s="15" t="s">
        <v>150</v>
      </c>
      <c r="D2" s="15" t="s">
        <v>151</v>
      </c>
    </row>
    <row r="3" spans="1:4" ht="29.25" customHeight="1" x14ac:dyDescent="0.2">
      <c r="A3" s="16" t="s">
        <v>152</v>
      </c>
      <c r="B3" s="16" t="s">
        <v>153</v>
      </c>
      <c r="C3" s="16" t="s">
        <v>154</v>
      </c>
      <c r="D3" s="16" t="s">
        <v>155</v>
      </c>
    </row>
    <row r="4" spans="1:4" ht="29.25" customHeight="1" x14ac:dyDescent="0.2">
      <c r="A4" s="16" t="s">
        <v>152</v>
      </c>
      <c r="B4" s="16" t="s">
        <v>156</v>
      </c>
      <c r="C4" s="16" t="s">
        <v>157</v>
      </c>
      <c r="D4" s="16" t="s">
        <v>158</v>
      </c>
    </row>
    <row r="5" spans="1:4" ht="29.25" customHeight="1" x14ac:dyDescent="0.2">
      <c r="A5" s="16" t="s">
        <v>152</v>
      </c>
      <c r="B5" s="16" t="s">
        <v>159</v>
      </c>
      <c r="C5" s="16" t="s">
        <v>154</v>
      </c>
      <c r="D5" s="16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18"/>
  <sheetViews>
    <sheetView topLeftCell="A34" workbookViewId="0">
      <selection activeCell="J57" sqref="J57"/>
    </sheetView>
  </sheetViews>
  <sheetFormatPr baseColWidth="10" defaultColWidth="8.83203125" defaultRowHeight="16" x14ac:dyDescent="0.2"/>
  <cols>
    <col min="1" max="1" width="28" customWidth="1"/>
    <col min="2" max="2" width="4" customWidth="1"/>
    <col min="3" max="3" width="3" customWidth="1"/>
    <col min="4" max="13" width="12" customWidth="1"/>
    <col min="15" max="17" width="18" customWidth="1"/>
  </cols>
  <sheetData>
    <row r="1" spans="1:17" ht="19" x14ac:dyDescent="0.25">
      <c r="A1" s="62" t="s">
        <v>161</v>
      </c>
      <c r="B1" s="62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O1" s="70" t="s">
        <v>162</v>
      </c>
      <c r="P1" s="71"/>
      <c r="Q1" s="71"/>
    </row>
    <row r="2" spans="1:17" ht="34" x14ac:dyDescent="0.2">
      <c r="A2" s="64" t="s">
        <v>163</v>
      </c>
      <c r="B2" s="64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O2" s="60" t="s">
        <v>164</v>
      </c>
      <c r="P2" s="60"/>
      <c r="Q2" s="60"/>
    </row>
    <row r="3" spans="1:17" ht="68" x14ac:dyDescent="0.2">
      <c r="A3" s="54"/>
      <c r="B3" s="54"/>
      <c r="O3" s="60" t="s">
        <v>165</v>
      </c>
      <c r="P3" s="60"/>
      <c r="Q3" s="60"/>
    </row>
    <row r="4" spans="1:17" ht="119" x14ac:dyDescent="0.2">
      <c r="A4" s="66" t="s">
        <v>2</v>
      </c>
      <c r="B4" s="66"/>
      <c r="D4" s="52">
        <v>2021</v>
      </c>
      <c r="E4" s="52">
        <v>2022</v>
      </c>
      <c r="F4" s="52">
        <v>2023</v>
      </c>
      <c r="G4" s="52">
        <v>2024</v>
      </c>
      <c r="H4" s="52">
        <v>2025</v>
      </c>
      <c r="I4" s="52">
        <v>2026</v>
      </c>
      <c r="J4" s="52">
        <v>2027</v>
      </c>
      <c r="K4" s="52">
        <v>2028</v>
      </c>
      <c r="L4" s="52">
        <v>2029</v>
      </c>
      <c r="M4" s="52">
        <v>2030</v>
      </c>
      <c r="O4" s="60" t="s">
        <v>166</v>
      </c>
      <c r="P4" s="60"/>
      <c r="Q4" s="60"/>
    </row>
    <row r="5" spans="1:17" x14ac:dyDescent="0.2">
      <c r="A5" s="54"/>
      <c r="B5" s="54"/>
    </row>
    <row r="6" spans="1:17" x14ac:dyDescent="0.2">
      <c r="A6" s="66" t="s">
        <v>26</v>
      </c>
      <c r="B6" s="67"/>
      <c r="O6" s="51" t="s">
        <v>146</v>
      </c>
      <c r="P6" s="51" t="s">
        <v>167</v>
      </c>
    </row>
    <row r="7" spans="1:17" x14ac:dyDescent="0.2">
      <c r="A7" s="68" t="s">
        <v>143</v>
      </c>
      <c r="B7" s="68"/>
      <c r="D7" s="57">
        <f>'Full Historical Statements'!D20</f>
        <v>2313416</v>
      </c>
      <c r="E7" s="57">
        <f>'Full Historical Statements'!E20</f>
        <v>3554985</v>
      </c>
      <c r="F7" s="57">
        <f>'Full Historical Statements'!F20</f>
        <v>3962347</v>
      </c>
      <c r="G7" s="57">
        <f>'Full Historical Statements'!G20</f>
        <v>4102108</v>
      </c>
      <c r="H7" s="57">
        <f>'Full Historical Statements'!H20</f>
        <v>4040647</v>
      </c>
      <c r="I7" s="57">
        <f>'Full Historical Statements'!I20</f>
        <v>4016403.1179999998</v>
      </c>
      <c r="J7" s="57">
        <f>'Full Historical Statements'!J20</f>
        <v>4056567.1491799997</v>
      </c>
      <c r="K7" s="57">
        <f>'Full Historical Statements'!K20</f>
        <v>4137698.4921635999</v>
      </c>
      <c r="L7" s="57">
        <f>'Full Historical Statements'!L20</f>
        <v>4220452.4620068716</v>
      </c>
      <c r="M7" s="57">
        <f>'Full Historical Statements'!M20</f>
        <v>4347066.0358670782</v>
      </c>
      <c r="O7" t="s">
        <v>79</v>
      </c>
      <c r="P7" t="s">
        <v>168</v>
      </c>
    </row>
    <row r="8" spans="1:17" x14ac:dyDescent="0.2">
      <c r="A8" s="67" t="s">
        <v>28</v>
      </c>
      <c r="B8" s="67"/>
      <c r="D8" s="57">
        <f>'Full Historical Statements'!D21</f>
        <v>893196</v>
      </c>
      <c r="E8" s="57">
        <f>'Full Historical Statements'!E21</f>
        <v>1694703</v>
      </c>
      <c r="F8" s="57">
        <f>'Full Historical Statements'!F21</f>
        <v>1752337</v>
      </c>
      <c r="G8" s="57">
        <f>'Full Historical Statements'!G21</f>
        <v>1691850</v>
      </c>
      <c r="H8" s="57">
        <f>'Full Historical Statements'!H21</f>
        <v>1683592</v>
      </c>
      <c r="I8" s="57">
        <f>'Full Historical Statements'!I21</f>
        <v>1686889.3095599997</v>
      </c>
      <c r="J8" s="57">
        <f>'Full Historical Statements'!J21</f>
        <v>1703758.2026555999</v>
      </c>
      <c r="K8" s="57">
        <f>'Full Historical Statements'!K21</f>
        <v>1779210.351630348</v>
      </c>
      <c r="L8" s="57">
        <f>'Full Historical Statements'!L21</f>
        <v>1856999.0832830234</v>
      </c>
      <c r="M8" s="57">
        <f>'Full Historical Statements'!M21</f>
        <v>1956179.7161401852</v>
      </c>
      <c r="O8" t="s">
        <v>169</v>
      </c>
      <c r="P8" t="s">
        <v>168</v>
      </c>
    </row>
    <row r="9" spans="1:17" x14ac:dyDescent="0.2">
      <c r="A9" s="69" t="s">
        <v>29</v>
      </c>
      <c r="B9" s="69"/>
      <c r="C9" s="53"/>
      <c r="D9" s="58">
        <f>'Full Historical Statements'!D22</f>
        <v>1420220</v>
      </c>
      <c r="E9" s="58">
        <f>'Full Historical Statements'!E22</f>
        <v>1860282</v>
      </c>
      <c r="F9" s="58">
        <f>'Full Historical Statements'!F22</f>
        <v>2210010</v>
      </c>
      <c r="G9" s="58">
        <f>'Full Historical Statements'!G22</f>
        <v>2410258</v>
      </c>
      <c r="H9" s="58">
        <f>'Full Historical Statements'!H22</f>
        <v>2357055</v>
      </c>
      <c r="I9" s="58">
        <f>'Full Historical Statements'!I22</f>
        <v>2329513.8084399998</v>
      </c>
      <c r="J9" s="58">
        <f>'Full Historical Statements'!J22</f>
        <v>2352808.9465243998</v>
      </c>
      <c r="K9" s="58">
        <f>'Full Historical Statements'!K22</f>
        <v>2358488.1405332517</v>
      </c>
      <c r="L9" s="58">
        <f>'Full Historical Statements'!L22</f>
        <v>2363453.3787238481</v>
      </c>
      <c r="M9" s="58">
        <f>'Full Historical Statements'!M22</f>
        <v>2390886.3197268927</v>
      </c>
    </row>
    <row r="10" spans="1:17" x14ac:dyDescent="0.2">
      <c r="A10" s="67" t="s">
        <v>30</v>
      </c>
      <c r="B10" s="67"/>
      <c r="D10" s="57">
        <f>'Full Historical Statements'!D23</f>
        <v>737156</v>
      </c>
      <c r="E10" s="57">
        <f>'Full Historical Statements'!E23</f>
        <v>1009526</v>
      </c>
      <c r="F10" s="57">
        <f>'Full Historical Statements'!F23</f>
        <v>1163940</v>
      </c>
      <c r="G10" s="57">
        <f>'Full Historical Statements'!G23</f>
        <v>1364265</v>
      </c>
      <c r="H10" s="57">
        <f>'Full Historical Statements'!H23</f>
        <v>1469425</v>
      </c>
      <c r="I10" s="57">
        <f>'Full Historical Statements'!I23</f>
        <v>1285248.9977599999</v>
      </c>
      <c r="J10" s="57">
        <f>'Full Historical Statements'!J23</f>
        <v>1338667.1592293999</v>
      </c>
      <c r="K10" s="57">
        <f>'Full Historical Statements'!K23</f>
        <v>1489571.4571788958</v>
      </c>
      <c r="L10" s="57">
        <f>'Full Historical Statements'!L23</f>
        <v>1519362.8863224736</v>
      </c>
      <c r="M10" s="57">
        <f>'Full Historical Statements'!M23</f>
        <v>1521473.1125534773</v>
      </c>
    </row>
    <row r="11" spans="1:17" x14ac:dyDescent="0.2">
      <c r="A11" s="67" t="s">
        <v>32</v>
      </c>
      <c r="B11" s="67"/>
      <c r="D11" s="57">
        <f>SUM('Full Historical Statements'!D24:D25)</f>
        <v>0</v>
      </c>
      <c r="E11" s="57">
        <f>SUM('Full Historical Statements'!E24:E25)</f>
        <v>0</v>
      </c>
      <c r="F11" s="57">
        <f>SUM('Full Historical Statements'!F24:F25)</f>
        <v>9287</v>
      </c>
      <c r="G11" s="57">
        <f>SUM('Full Historical Statements'!G24:G25)</f>
        <v>24082</v>
      </c>
      <c r="H11" s="57">
        <f>SUM('Full Historical Statements'!H24:H25)</f>
        <v>738115</v>
      </c>
      <c r="I11" s="57">
        <f>SUM('Full Historical Statements'!I24:I25)</f>
        <v>597000</v>
      </c>
      <c r="J11" s="57">
        <f>SUM('Full Historical Statements'!J24:J25)</f>
        <v>409000</v>
      </c>
      <c r="K11" s="57">
        <f>SUM('Full Historical Statements'!K24:K25)</f>
        <v>367000</v>
      </c>
      <c r="L11" s="57">
        <f>SUM('Full Historical Statements'!L24:L25)</f>
        <v>322000</v>
      </c>
      <c r="M11" s="57">
        <f>SUM('Full Historical Statements'!M24:M25)</f>
        <v>314000</v>
      </c>
    </row>
    <row r="12" spans="1:17" x14ac:dyDescent="0.2">
      <c r="A12" s="69" t="s">
        <v>33</v>
      </c>
      <c r="B12" s="69"/>
      <c r="C12" s="53"/>
      <c r="D12" s="58">
        <f>'Full Historical Statements'!D26</f>
        <v>683064</v>
      </c>
      <c r="E12" s="58">
        <f>'Full Historical Statements'!E26</f>
        <v>850756</v>
      </c>
      <c r="F12" s="58">
        <f>'Full Historical Statements'!F26</f>
        <v>1036783</v>
      </c>
      <c r="G12" s="58">
        <f>'Full Historical Statements'!G26</f>
        <v>1021911</v>
      </c>
      <c r="H12" s="58">
        <f>'Full Historical Statements'!H26</f>
        <v>149515</v>
      </c>
      <c r="I12" s="58">
        <f>'Full Historical Statements'!I26</f>
        <v>447264.81067999988</v>
      </c>
      <c r="J12" s="58">
        <f>'Full Historical Statements'!J26</f>
        <v>605141.78729499993</v>
      </c>
      <c r="K12" s="58">
        <f>'Full Historical Statements'!K26</f>
        <v>501916.68335435586</v>
      </c>
      <c r="L12" s="58">
        <f>'Full Historical Statements'!L26</f>
        <v>522090.4924013745</v>
      </c>
      <c r="M12" s="58">
        <f>'Full Historical Statements'!M26</f>
        <v>555413.20717341546</v>
      </c>
    </row>
    <row r="13" spans="1:17" x14ac:dyDescent="0.2">
      <c r="A13" s="67" t="s">
        <v>34</v>
      </c>
      <c r="B13" s="67"/>
      <c r="D13" s="57">
        <f>'Full Historical Statements'!D27</f>
        <v>-140</v>
      </c>
      <c r="E13" s="57">
        <f>'Full Historical Statements'!E27</f>
        <v>3228</v>
      </c>
      <c r="F13" s="57">
        <f>'Full Historical Statements'!F27</f>
        <v>-1240</v>
      </c>
      <c r="G13" s="57">
        <f>'Full Historical Statements'!G27</f>
        <v>-6777</v>
      </c>
      <c r="H13" s="57">
        <f>'Full Historical Statements'!H27</f>
        <v>9843</v>
      </c>
      <c r="I13" s="57">
        <f>'Full Historical Statements'!I27</f>
        <v>9843</v>
      </c>
      <c r="J13" s="57">
        <f>'Full Historical Statements'!J27</f>
        <v>9843</v>
      </c>
      <c r="K13" s="57">
        <f>'Full Historical Statements'!K27</f>
        <v>9843</v>
      </c>
      <c r="L13" s="57">
        <f>'Full Historical Statements'!L27</f>
        <v>9843</v>
      </c>
      <c r="M13" s="57">
        <f>'Full Historical Statements'!M27</f>
        <v>9843</v>
      </c>
    </row>
    <row r="14" spans="1:17" x14ac:dyDescent="0.2">
      <c r="A14" s="67" t="s">
        <v>35</v>
      </c>
      <c r="B14" s="67"/>
      <c r="D14" s="57">
        <f>'Full Historical Statements'!D28</f>
        <v>775</v>
      </c>
      <c r="E14" s="57">
        <f>'Full Historical Statements'!E28</f>
        <v>1020</v>
      </c>
      <c r="F14" s="57">
        <f>'Full Historical Statements'!F28</f>
        <v>2406</v>
      </c>
      <c r="G14" s="57">
        <f>'Full Historical Statements'!G28</f>
        <v>3484</v>
      </c>
      <c r="H14" s="57">
        <f>'Full Historical Statements'!H28</f>
        <v>1844</v>
      </c>
      <c r="I14" s="57">
        <f>'Full Historical Statements'!I28</f>
        <v>1844</v>
      </c>
      <c r="J14" s="57">
        <f>'Full Historical Statements'!J28</f>
        <v>1844</v>
      </c>
      <c r="K14" s="57">
        <f>'Full Historical Statements'!K28</f>
        <v>1844</v>
      </c>
      <c r="L14" s="57">
        <f>'Full Historical Statements'!L28</f>
        <v>1844</v>
      </c>
      <c r="M14" s="57">
        <f>'Full Historical Statements'!M28</f>
        <v>1844</v>
      </c>
    </row>
    <row r="15" spans="1:17" x14ac:dyDescent="0.2">
      <c r="A15" s="67" t="s">
        <v>36</v>
      </c>
      <c r="B15" s="67"/>
      <c r="D15" s="57">
        <f>'Full Historical Statements'!D29</f>
        <v>-21647</v>
      </c>
      <c r="E15" s="57">
        <f>'Full Historical Statements'!E29</f>
        <v>-136158</v>
      </c>
      <c r="F15" s="57">
        <f>'Full Historical Statements'!F29</f>
        <v>-161351</v>
      </c>
      <c r="G15" s="57">
        <f>'Full Historical Statements'!G29</f>
        <v>-109264</v>
      </c>
      <c r="H15" s="57">
        <f>'Full Historical Statements'!H29</f>
        <v>-88287</v>
      </c>
      <c r="I15" s="57">
        <f>'Full Historical Statements'!I29</f>
        <v>-42453.442806687963</v>
      </c>
      <c r="J15" s="57">
        <f>'Full Historical Statements'!J29</f>
        <v>-16239.999999999998</v>
      </c>
      <c r="K15" s="57">
        <f>'Full Historical Statements'!K29</f>
        <v>-15224.999999999998</v>
      </c>
      <c r="L15" s="57">
        <f>'Full Historical Statements'!L29</f>
        <v>-49353.54649753296</v>
      </c>
      <c r="M15" s="57">
        <f>'Full Historical Statements'!M29</f>
        <v>-17941.553472477965</v>
      </c>
    </row>
    <row r="16" spans="1:17" x14ac:dyDescent="0.2">
      <c r="A16" s="67" t="s">
        <v>37</v>
      </c>
      <c r="B16" s="67"/>
      <c r="D16" s="57">
        <f>'Full Historical Statements'!D30</f>
        <v>1797</v>
      </c>
      <c r="E16" s="57">
        <f>'Full Historical Statements'!E30</f>
        <v>-338</v>
      </c>
      <c r="F16" s="57">
        <f>'Full Historical Statements'!F30</f>
        <v>-326</v>
      </c>
      <c r="G16" s="57">
        <f>'Full Historical Statements'!G30</f>
        <v>1231</v>
      </c>
      <c r="H16" s="57">
        <f>'Full Historical Statements'!H30</f>
        <v>63</v>
      </c>
      <c r="I16" s="57">
        <f>'Full Historical Statements'!I30</f>
        <v>485.4</v>
      </c>
      <c r="J16" s="57">
        <f>'Full Historical Statements'!J30</f>
        <v>223.08</v>
      </c>
      <c r="K16" s="57">
        <f>'Full Historical Statements'!K30</f>
        <v>335.29599999999999</v>
      </c>
      <c r="L16" s="57">
        <f>'Full Historical Statements'!L30</f>
        <v>467.55519999999996</v>
      </c>
      <c r="M16" s="57">
        <f>'Full Historical Statements'!M30</f>
        <v>314.86624</v>
      </c>
    </row>
    <row r="17" spans="1:13" x14ac:dyDescent="0.2">
      <c r="A17" s="69" t="s">
        <v>38</v>
      </c>
      <c r="B17" s="69"/>
      <c r="C17" s="53"/>
      <c r="D17" s="58">
        <f>'Full Historical Statements'!D31</f>
        <v>663849</v>
      </c>
      <c r="E17" s="58">
        <f>'Full Historical Statements'!E31</f>
        <v>718508</v>
      </c>
      <c r="F17" s="58">
        <f>'Full Historical Statements'!F31</f>
        <v>876272</v>
      </c>
      <c r="G17" s="58">
        <f>'Full Historical Statements'!G31</f>
        <v>910585</v>
      </c>
      <c r="H17" s="58">
        <f>'Full Historical Statements'!H31</f>
        <v>72978</v>
      </c>
      <c r="I17" s="58">
        <f>'Full Historical Statements'!I31</f>
        <v>416983.76787331194</v>
      </c>
      <c r="J17" s="58">
        <f>'Full Historical Statements'!J31</f>
        <v>600811.86729499989</v>
      </c>
      <c r="K17" s="58">
        <f>'Full Historical Statements'!K31</f>
        <v>498713.97935435583</v>
      </c>
      <c r="L17" s="58">
        <f>'Full Historical Statements'!L31</f>
        <v>484891.50110384153</v>
      </c>
      <c r="M17" s="58">
        <f>'Full Historical Statements'!M31</f>
        <v>549473.51994093752</v>
      </c>
    </row>
    <row r="18" spans="1:13" x14ac:dyDescent="0.2">
      <c r="A18" s="67" t="s">
        <v>39</v>
      </c>
      <c r="B18" s="67"/>
      <c r="D18" s="57">
        <f>'Full Historical Statements'!D32</f>
        <v>-61845</v>
      </c>
      <c r="E18" s="57">
        <f>'Full Historical Statements'!E32</f>
        <v>178349</v>
      </c>
      <c r="F18" s="57">
        <f>'Full Historical Statements'!F32</f>
        <v>83706</v>
      </c>
      <c r="G18" s="57">
        <f>'Full Historical Statements'!G32</f>
        <v>-39486</v>
      </c>
      <c r="H18" s="57">
        <f>'Full Historical Statements'!H32</f>
        <v>154176</v>
      </c>
      <c r="I18" s="57">
        <f>'Full Historical Statements'!I32</f>
        <v>104245.94196832798</v>
      </c>
      <c r="J18" s="57">
        <f>200157*28%</f>
        <v>56043.960000000006</v>
      </c>
      <c r="K18" s="57">
        <f>'Full Historical Statements'!K32</f>
        <v>124678.49483858896</v>
      </c>
      <c r="L18" s="57">
        <f>341758*28%</f>
        <v>95692.24</v>
      </c>
      <c r="M18" s="57">
        <f>446069*28%</f>
        <v>124899.32</v>
      </c>
    </row>
    <row r="19" spans="1:13" x14ac:dyDescent="0.2">
      <c r="A19" s="69" t="s">
        <v>40</v>
      </c>
      <c r="B19" s="69"/>
      <c r="C19" s="53"/>
      <c r="D19" s="58">
        <f>'Full Historical Statements'!D33</f>
        <v>725694</v>
      </c>
      <c r="E19" s="58">
        <f>'Full Historical Statements'!E33</f>
        <v>540159</v>
      </c>
      <c r="F19" s="58">
        <f>'Full Historical Statements'!F33</f>
        <v>792566</v>
      </c>
      <c r="G19" s="58">
        <f>'Full Historical Statements'!G33</f>
        <v>950071</v>
      </c>
      <c r="H19" s="58">
        <f>'Full Historical Statements'!H33</f>
        <v>-81198</v>
      </c>
      <c r="I19" s="58">
        <f>'Full Historical Statements'!I33</f>
        <v>312737.82590498397</v>
      </c>
      <c r="J19" s="58">
        <f>'Full Historical Statements'!J33</f>
        <v>450608.90047124994</v>
      </c>
      <c r="K19" s="58">
        <f>'Full Historical Statements'!K33</f>
        <v>374035.48451576685</v>
      </c>
      <c r="L19" s="58">
        <f>'Full Historical Statements'!L33</f>
        <v>363668.62582788116</v>
      </c>
      <c r="M19" s="58">
        <f>'Full Historical Statements'!M33</f>
        <v>412105.13995570317</v>
      </c>
    </row>
    <row r="20" spans="1:13" x14ac:dyDescent="0.2">
      <c r="A20" s="54"/>
      <c r="B20" s="54"/>
      <c r="D20" s="55"/>
      <c r="E20" s="55"/>
      <c r="F20" s="55"/>
      <c r="G20" s="55"/>
      <c r="H20" s="55"/>
      <c r="I20" s="55"/>
      <c r="J20" s="55"/>
      <c r="K20" s="55"/>
      <c r="L20" s="55"/>
      <c r="M20" s="55"/>
    </row>
    <row r="21" spans="1:13" x14ac:dyDescent="0.2">
      <c r="A21" s="54"/>
      <c r="B21" s="54"/>
      <c r="D21" s="55"/>
      <c r="E21" s="55"/>
      <c r="F21" s="55"/>
      <c r="G21" s="55"/>
      <c r="H21" s="55"/>
      <c r="I21" s="55"/>
      <c r="J21" s="55"/>
      <c r="K21" s="55"/>
      <c r="L21" s="55"/>
      <c r="M21" s="55"/>
    </row>
    <row r="22" spans="1:13" x14ac:dyDescent="0.2">
      <c r="A22" s="66" t="s">
        <v>41</v>
      </c>
      <c r="B22" s="67"/>
      <c r="D22" s="55"/>
      <c r="E22" s="55"/>
      <c r="F22" s="55"/>
      <c r="G22" s="55"/>
      <c r="H22" s="55"/>
      <c r="I22" s="55"/>
      <c r="J22" s="55"/>
      <c r="K22" s="55"/>
      <c r="L22" s="55"/>
      <c r="M22" s="55"/>
    </row>
    <row r="23" spans="1:13" x14ac:dyDescent="0.2">
      <c r="A23" s="68" t="s">
        <v>42</v>
      </c>
      <c r="B23" s="68"/>
      <c r="D23" s="57">
        <f>'Full Historical Statements'!D37</f>
        <v>213197</v>
      </c>
      <c r="E23" s="57">
        <f>'Full Historical Statements'!E37</f>
        <v>191629</v>
      </c>
      <c r="F23" s="57">
        <f>'Full Historical Statements'!F37</f>
        <v>149288</v>
      </c>
      <c r="G23" s="57">
        <f>'Full Historical Statements'!G37</f>
        <v>180485</v>
      </c>
      <c r="H23" s="57">
        <f>'Full Historical Statements'!H37</f>
        <v>130354</v>
      </c>
      <c r="I23" s="59">
        <f>I51-SUM(I24:I26,I28:I31)</f>
        <v>-8098.4159632418305</v>
      </c>
      <c r="J23" s="59">
        <f>J51-SUM(J24:J26,J28:J31)</f>
        <v>534457.23925094306</v>
      </c>
      <c r="K23" s="59">
        <f>K51-SUM(K24:K26,K28:K31)</f>
        <v>1272941.7001056354</v>
      </c>
      <c r="L23" s="59">
        <f>L51-SUM(L24:L26,L28:L31)</f>
        <v>1409051.0166232195</v>
      </c>
      <c r="M23" s="59">
        <f>M51-SUM(M24:M26,M28:M31)</f>
        <v>1942365.0176416142</v>
      </c>
    </row>
    <row r="24" spans="1:13" x14ac:dyDescent="0.2">
      <c r="A24" s="67" t="s">
        <v>44</v>
      </c>
      <c r="B24" s="67"/>
      <c r="D24" s="57">
        <f>'Full Historical Statements'!D39</f>
        <v>182629</v>
      </c>
      <c r="E24" s="57">
        <f>'Full Historical Statements'!E39</f>
        <v>295594</v>
      </c>
      <c r="F24" s="57">
        <f>'Full Historical Statements'!F39</f>
        <v>305747</v>
      </c>
      <c r="G24" s="57">
        <f>'Full Historical Statements'!G39</f>
        <v>257657</v>
      </c>
      <c r="H24" s="57">
        <f>'Full Historical Statements'!H39</f>
        <v>278191</v>
      </c>
      <c r="I24" s="57">
        <f>'Full Historical Statements'!I39</f>
        <v>297948.59372961527</v>
      </c>
      <c r="J24" s="57">
        <f>'Full Historical Statements'!J39</f>
        <v>300074.83021331503</v>
      </c>
      <c r="K24" s="57">
        <f>'Full Historical Statements'!K39</f>
        <v>306076.32681758137</v>
      </c>
      <c r="L24" s="57">
        <f>'Full Historical Statements'!L39</f>
        <v>312197.85335393297</v>
      </c>
      <c r="M24" s="57">
        <f>'Full Historical Statements'!M39</f>
        <v>321563.78895455098</v>
      </c>
    </row>
    <row r="25" spans="1:13" x14ac:dyDescent="0.2">
      <c r="A25" s="67" t="s">
        <v>45</v>
      </c>
      <c r="B25" s="67"/>
      <c r="D25" s="57">
        <f>'Full Historical Statements'!D40</f>
        <v>213520</v>
      </c>
      <c r="E25" s="57">
        <f>'Full Historical Statements'!E40</f>
        <v>471551</v>
      </c>
      <c r="F25" s="57">
        <f>'Full Historical Statements'!F40</f>
        <v>385054</v>
      </c>
      <c r="G25" s="57">
        <f>'Full Historical Statements'!G40</f>
        <v>356254</v>
      </c>
      <c r="H25" s="57">
        <f>'Full Historical Statements'!H40</f>
        <v>368687</v>
      </c>
      <c r="I25" s="57">
        <f>'Full Historical Statements'!I40</f>
        <v>393584.349292745</v>
      </c>
      <c r="J25" s="57">
        <f>'Full Historical Statements'!J40</f>
        <v>396765.6088376054</v>
      </c>
      <c r="K25" s="57">
        <f>'Full Historical Statements'!K40</f>
        <v>414336.65722898516</v>
      </c>
      <c r="L25" s="57">
        <f>'Full Historical Statements'!L40</f>
        <v>432451.84131248487</v>
      </c>
      <c r="M25" s="57">
        <f>'Full Historical Statements'!M40</f>
        <v>455548.70101894729</v>
      </c>
    </row>
    <row r="26" spans="1:13" x14ac:dyDescent="0.2">
      <c r="A26" s="67" t="s">
        <v>170</v>
      </c>
      <c r="B26" s="67"/>
      <c r="D26" s="55">
        <f>SUM('Full Historical Statements'!D38,'Full Historical Statements'!D41:D43)</f>
        <v>57223</v>
      </c>
      <c r="E26" s="55">
        <f>SUM('Full Historical Statements'!E38,'Full Historical Statements'!E41:E43)</f>
        <v>67201</v>
      </c>
      <c r="F26" s="55">
        <f>SUM('Full Historical Statements'!F38,'Full Historical Statements'!F41:F43)</f>
        <v>70615</v>
      </c>
      <c r="G26" s="55">
        <f>SUM('Full Historical Statements'!G38,'Full Historical Statements'!G41:G43)</f>
        <v>77873</v>
      </c>
      <c r="H26" s="55">
        <f>SUM('Full Historical Statements'!H38,'Full Historical Statements'!H41:H43)</f>
        <v>108651</v>
      </c>
      <c r="I26" s="55">
        <f>SUM('Full Historical Statements'!I38,'Full Historical Statements'!I41:I43)</f>
        <v>91749.383693868469</v>
      </c>
      <c r="J26" s="55">
        <f>SUM('Full Historical Statements'!J38,'Full Historical Statements'!J41:J43)</f>
        <v>97089.283372494494</v>
      </c>
      <c r="K26" s="55">
        <f>SUM('Full Historical Statements'!K38,'Full Historical Statements'!K41:K43)</f>
        <v>103687.7685288159</v>
      </c>
      <c r="L26" s="55">
        <f>SUM('Full Historical Statements'!L38,'Full Historical Statements'!L41:L43)</f>
        <v>102234.44513240602</v>
      </c>
      <c r="M26" s="55">
        <f>SUM('Full Historical Statements'!M38,'Full Historical Statements'!M41:M43)</f>
        <v>105938.91938170127</v>
      </c>
    </row>
    <row r="27" spans="1:13" x14ac:dyDescent="0.2">
      <c r="A27" s="69" t="s">
        <v>49</v>
      </c>
      <c r="B27" s="69"/>
      <c r="C27" s="53"/>
      <c r="D27" s="56">
        <f t="shared" ref="D27:M27" si="0">SUM(D23:D26)</f>
        <v>666569</v>
      </c>
      <c r="E27" s="56">
        <f t="shared" si="0"/>
        <v>1025975</v>
      </c>
      <c r="F27" s="56">
        <f t="shared" si="0"/>
        <v>910704</v>
      </c>
      <c r="G27" s="56">
        <f t="shared" si="0"/>
        <v>872269</v>
      </c>
      <c r="H27" s="56">
        <f t="shared" si="0"/>
        <v>885883</v>
      </c>
      <c r="I27" s="56">
        <f t="shared" si="0"/>
        <v>775183.91075298702</v>
      </c>
      <c r="J27" s="56">
        <f t="shared" si="0"/>
        <v>1328386.961674358</v>
      </c>
      <c r="K27" s="56">
        <f t="shared" si="0"/>
        <v>2097042.4526810178</v>
      </c>
      <c r="L27" s="56">
        <f t="shared" si="0"/>
        <v>2255935.1564220432</v>
      </c>
      <c r="M27" s="56">
        <f t="shared" si="0"/>
        <v>2825416.4269968136</v>
      </c>
    </row>
    <row r="28" spans="1:13" x14ac:dyDescent="0.2">
      <c r="A28" s="67" t="s">
        <v>50</v>
      </c>
      <c r="B28" s="67"/>
      <c r="D28" s="57">
        <f>'Full Historical Statements'!D45</f>
        <v>108398</v>
      </c>
      <c r="E28" s="57">
        <f>'Full Historical Statements'!E45</f>
        <v>181529</v>
      </c>
      <c r="F28" s="57">
        <f>'Full Historical Statements'!F45</f>
        <v>238315</v>
      </c>
      <c r="G28" s="57">
        <f>'Full Historical Statements'!G45</f>
        <v>244335</v>
      </c>
      <c r="H28" s="57">
        <f>'Full Historical Statements'!H45</f>
        <v>238191</v>
      </c>
      <c r="I28" s="57">
        <f>'Full Historical Statements'!I45</f>
        <v>240280.33333333334</v>
      </c>
      <c r="J28" s="57">
        <f>'Full Historical Statements'!J45</f>
        <v>240935.44444444447</v>
      </c>
      <c r="K28" s="57">
        <f>'Full Historical Statements'!K45</f>
        <v>320000</v>
      </c>
      <c r="L28" s="57">
        <f>'Full Historical Statements'!L45</f>
        <v>350000</v>
      </c>
      <c r="M28" s="57">
        <f>'Full Historical Statements'!M45</f>
        <v>360000</v>
      </c>
    </row>
    <row r="29" spans="1:13" x14ac:dyDescent="0.2">
      <c r="A29" s="67" t="s">
        <v>51</v>
      </c>
      <c r="B29" s="67"/>
      <c r="D29" s="57">
        <f>'Full Historical Statements'!D46</f>
        <v>28802</v>
      </c>
      <c r="E29" s="57">
        <f>'Full Historical Statements'!E46</f>
        <v>1800167</v>
      </c>
      <c r="F29" s="57">
        <f>'Full Historical Statements'!F46</f>
        <v>1792562</v>
      </c>
      <c r="G29" s="57">
        <f>'Full Historical Statements'!G46</f>
        <v>1777080</v>
      </c>
      <c r="H29" s="57">
        <f>'Full Historical Statements'!H46</f>
        <v>1324680</v>
      </c>
      <c r="I29" s="57">
        <f>'Full Historical Statements'!I46</f>
        <v>1631440.6666666667</v>
      </c>
      <c r="J29" s="57">
        <f>'Full Historical Statements'!J46</f>
        <v>1577733.5555555557</v>
      </c>
      <c r="K29" s="57">
        <f>'Full Historical Statements'!K46</f>
        <v>1511284.7407407409</v>
      </c>
      <c r="L29" s="57">
        <f>'Full Historical Statements'!L46</f>
        <v>1573486.3209876546</v>
      </c>
      <c r="M29" s="57">
        <f>'Full Historical Statements'!M46</f>
        <v>1554168.2057613172</v>
      </c>
    </row>
    <row r="30" spans="1:13" x14ac:dyDescent="0.2">
      <c r="A30" s="67" t="s">
        <v>52</v>
      </c>
      <c r="B30" s="67"/>
      <c r="D30" s="57">
        <f>'Full Historical Statements'!D47</f>
        <v>1600</v>
      </c>
      <c r="E30" s="57">
        <f>'Full Historical Statements'!E47</f>
        <v>714814</v>
      </c>
      <c r="F30" s="57">
        <f>'Full Historical Statements'!F47</f>
        <v>711588</v>
      </c>
      <c r="G30" s="57">
        <f>'Full Historical Statements'!G47</f>
        <v>711491</v>
      </c>
      <c r="H30" s="57">
        <f>'Full Historical Statements'!H47</f>
        <v>404689</v>
      </c>
      <c r="I30" s="57">
        <f>'Full Historical Statements'!I47</f>
        <v>609256</v>
      </c>
      <c r="J30" s="57">
        <f>'Full Historical Statements'!J47</f>
        <v>575145.33333333337</v>
      </c>
      <c r="K30" s="57">
        <f>'Full Historical Statements'!K47</f>
        <v>529696.77777777787</v>
      </c>
      <c r="L30" s="57">
        <f>'Full Historical Statements'!L47</f>
        <v>571366.0370370372</v>
      </c>
      <c r="M30" s="57">
        <f>'Full Historical Statements'!M47</f>
        <v>558736.04938271607</v>
      </c>
    </row>
    <row r="31" spans="1:13" x14ac:dyDescent="0.2">
      <c r="A31" s="67" t="s">
        <v>171</v>
      </c>
      <c r="B31" s="67"/>
      <c r="D31" s="55">
        <f>SUM('Full Historical Statements'!D48:D51)</f>
        <v>739699</v>
      </c>
      <c r="E31" s="55">
        <f>SUM('Full Historical Statements'!E48:E51)</f>
        <v>779312</v>
      </c>
      <c r="F31" s="55">
        <f>SUM('Full Historical Statements'!F48:F51)</f>
        <v>990665</v>
      </c>
      <c r="G31" s="55">
        <f>SUM('Full Historical Statements'!G48:G51)</f>
        <v>1206978</v>
      </c>
      <c r="H31" s="55">
        <f>SUM('Full Historical Statements'!H48:H51)</f>
        <v>1321307</v>
      </c>
      <c r="I31" s="55">
        <f>SUM('Full Historical Statements'!I48:I51)</f>
        <v>1172983.3333333335</v>
      </c>
      <c r="J31" s="55">
        <f>SUM('Full Historical Statements'!J48:J51)</f>
        <v>1233756.1111111112</v>
      </c>
      <c r="K31" s="55">
        <f>SUM('Full Historical Statements'!K48:K51)</f>
        <v>1419754</v>
      </c>
      <c r="L31" s="55">
        <f>SUM('Full Historical Statements'!L48:L51)</f>
        <v>1428792.666666667</v>
      </c>
      <c r="M31" s="55">
        <f>SUM('Full Historical Statements'!M48:M51)</f>
        <v>1461099.8888888892</v>
      </c>
    </row>
    <row r="32" spans="1:13" x14ac:dyDescent="0.2">
      <c r="A32" s="69" t="s">
        <v>57</v>
      </c>
      <c r="B32" s="69"/>
      <c r="C32" s="53"/>
      <c r="D32" s="56">
        <f t="shared" ref="D32:M32" si="1">D27+SUM(D28:D31)</f>
        <v>1545068</v>
      </c>
      <c r="E32" s="56">
        <f t="shared" si="1"/>
        <v>4501797</v>
      </c>
      <c r="F32" s="56">
        <f t="shared" si="1"/>
        <v>4643834</v>
      </c>
      <c r="G32" s="56">
        <f t="shared" si="1"/>
        <v>4812153</v>
      </c>
      <c r="H32" s="56">
        <f t="shared" si="1"/>
        <v>4174750</v>
      </c>
      <c r="I32" s="56">
        <f t="shared" si="1"/>
        <v>4429144.2440863205</v>
      </c>
      <c r="J32" s="56">
        <f t="shared" si="1"/>
        <v>4955957.4061188027</v>
      </c>
      <c r="K32" s="56">
        <f t="shared" si="1"/>
        <v>5877777.9711995367</v>
      </c>
      <c r="L32" s="56">
        <f t="shared" si="1"/>
        <v>6179580.1811134014</v>
      </c>
      <c r="M32" s="56">
        <f t="shared" si="1"/>
        <v>6759420.5710297357</v>
      </c>
    </row>
    <row r="33" spans="1:13" x14ac:dyDescent="0.2">
      <c r="A33" s="54"/>
      <c r="B33" s="54"/>
      <c r="D33" s="55"/>
      <c r="E33" s="55"/>
      <c r="F33" s="55"/>
      <c r="G33" s="55"/>
      <c r="H33" s="55"/>
      <c r="I33" s="55"/>
      <c r="J33" s="55"/>
      <c r="K33" s="55"/>
      <c r="L33" s="55"/>
      <c r="M33" s="55"/>
    </row>
    <row r="34" spans="1:13" x14ac:dyDescent="0.2">
      <c r="A34" s="54"/>
      <c r="B34" s="54"/>
      <c r="D34" s="55"/>
      <c r="E34" s="55"/>
      <c r="F34" s="55"/>
      <c r="G34" s="55"/>
      <c r="H34" s="55"/>
      <c r="I34" s="55"/>
      <c r="J34" s="55"/>
      <c r="K34" s="55"/>
      <c r="L34" s="55"/>
      <c r="M34" s="55"/>
    </row>
    <row r="35" spans="1:13" x14ac:dyDescent="0.2">
      <c r="A35" s="66" t="s">
        <v>58</v>
      </c>
      <c r="B35" s="67"/>
      <c r="D35" s="55"/>
      <c r="E35" s="55"/>
      <c r="F35" s="55"/>
      <c r="G35" s="55"/>
      <c r="H35" s="55"/>
      <c r="I35" s="55"/>
      <c r="J35" s="55"/>
      <c r="K35" s="55"/>
      <c r="L35" s="55"/>
      <c r="M35" s="55"/>
    </row>
    <row r="36" spans="1:13" x14ac:dyDescent="0.2">
      <c r="A36" s="68" t="s">
        <v>59</v>
      </c>
      <c r="B36" s="68"/>
      <c r="D36" s="57">
        <f>'Full Historical Statements'!D55</f>
        <v>162145</v>
      </c>
      <c r="E36" s="57">
        <f>'Full Historical Statements'!E55</f>
        <v>230821</v>
      </c>
      <c r="F36" s="57">
        <f>'Full Historical Statements'!F55</f>
        <v>260978</v>
      </c>
      <c r="G36" s="57">
        <f>'Full Historical Statements'!G55</f>
        <v>264901</v>
      </c>
      <c r="H36" s="57">
        <f>'Full Historical Statements'!H55</f>
        <v>266090</v>
      </c>
      <c r="I36" s="57">
        <f>'Full Historical Statements'!I55</f>
        <v>263589.97868518339</v>
      </c>
      <c r="J36" s="57">
        <f>'Full Historical Statements'!J55</f>
        <v>266066.34945580602</v>
      </c>
      <c r="K36" s="57">
        <f>'Full Historical Statements'!K55</f>
        <v>277849.28778884886</v>
      </c>
      <c r="L36" s="57">
        <f>'Full Historical Statements'!L55</f>
        <v>289997.11711543106</v>
      </c>
      <c r="M36" s="57">
        <f>'Full Historical Statements'!M55</f>
        <v>305485.59950682346</v>
      </c>
    </row>
    <row r="37" spans="1:13" x14ac:dyDescent="0.2">
      <c r="A37" s="67" t="s">
        <v>172</v>
      </c>
      <c r="B37" s="67"/>
      <c r="D37" s="55">
        <f>SUM('Full Historical Statements'!D56:D59)</f>
        <v>226098</v>
      </c>
      <c r="E37" s="55">
        <f>SUM('Full Historical Statements'!E56:E59)</f>
        <v>410453</v>
      </c>
      <c r="F37" s="55">
        <f>SUM('Full Historical Statements'!F56:F59)</f>
        <v>437318</v>
      </c>
      <c r="G37" s="55">
        <f>SUM('Full Historical Statements'!G56:G59)</f>
        <v>475307</v>
      </c>
      <c r="H37" s="55">
        <f>SUM('Full Historical Statements'!H56:H59)</f>
        <v>434039</v>
      </c>
      <c r="I37" s="55">
        <f>SUM('Full Historical Statements'!I56:I59)</f>
        <v>450057.37351543945</v>
      </c>
      <c r="J37" s="55">
        <f>SUM('Full Historical Statements'!J56:J59)</f>
        <v>458991.50362277444</v>
      </c>
      <c r="K37" s="55">
        <f>SUM('Full Historical Statements'!K56:K59)</f>
        <v>453609.8130733252</v>
      </c>
      <c r="L37" s="55">
        <f>SUM('Full Historical Statements'!L56:L59)</f>
        <v>460190.77666453959</v>
      </c>
      <c r="M37" s="55">
        <f>SUM('Full Historical Statements'!M56:M59)</f>
        <v>463626.49328228674</v>
      </c>
    </row>
    <row r="38" spans="1:13" x14ac:dyDescent="0.2">
      <c r="A38" s="69" t="s">
        <v>64</v>
      </c>
      <c r="B38" s="69"/>
      <c r="C38" s="53"/>
      <c r="D38" s="56">
        <f t="shared" ref="D38:M38" si="2">SUM(D36:D37)</f>
        <v>388243</v>
      </c>
      <c r="E38" s="56">
        <f t="shared" si="2"/>
        <v>641274</v>
      </c>
      <c r="F38" s="56">
        <f t="shared" si="2"/>
        <v>698296</v>
      </c>
      <c r="G38" s="56">
        <f t="shared" si="2"/>
        <v>740208</v>
      </c>
      <c r="H38" s="56">
        <f t="shared" si="2"/>
        <v>700129</v>
      </c>
      <c r="I38" s="56">
        <f t="shared" si="2"/>
        <v>713647.3522006229</v>
      </c>
      <c r="J38" s="56">
        <f t="shared" si="2"/>
        <v>725057.85307858046</v>
      </c>
      <c r="K38" s="56">
        <f t="shared" si="2"/>
        <v>731459.10086217406</v>
      </c>
      <c r="L38" s="56">
        <f t="shared" si="2"/>
        <v>750187.89377997071</v>
      </c>
      <c r="M38" s="56">
        <f t="shared" si="2"/>
        <v>769112.09278911026</v>
      </c>
    </row>
    <row r="39" spans="1:13" x14ac:dyDescent="0.2">
      <c r="A39" s="67" t="s">
        <v>67</v>
      </c>
      <c r="B39" s="67"/>
      <c r="D39" s="57">
        <f>'Full Historical Statements'!D63</f>
        <v>771390</v>
      </c>
      <c r="E39" s="57">
        <f>'Full Historical Statements'!E63</f>
        <v>2298027</v>
      </c>
      <c r="F39" s="57">
        <f>'Full Historical Statements'!F63</f>
        <v>1640996</v>
      </c>
      <c r="G39" s="57">
        <f>'Full Historical Statements'!G63</f>
        <v>1349339</v>
      </c>
      <c r="H39" s="57">
        <f>'Full Historical Statements'!H63</f>
        <v>1230885</v>
      </c>
      <c r="I39" s="57">
        <f>'Full Historical Statements'!I63</f>
        <v>950566</v>
      </c>
      <c r="J39" s="57">
        <f>'Full Historical Statements'!J63</f>
        <v>750566</v>
      </c>
      <c r="K39" s="57">
        <f>'Full Historical Statements'!K63</f>
        <v>900566</v>
      </c>
      <c r="L39" s="57">
        <f>'Full Historical Statements'!L63</f>
        <v>550566</v>
      </c>
      <c r="M39" s="57">
        <f>'Full Historical Statements'!M63</f>
        <v>400566</v>
      </c>
    </row>
    <row r="40" spans="1:13" x14ac:dyDescent="0.2">
      <c r="A40" s="67" t="s">
        <v>173</v>
      </c>
      <c r="B40" s="67"/>
      <c r="D40" s="55">
        <f>SUM('Full Historical Statements'!D61:D62,'Full Historical Statements'!D64:D65)</f>
        <v>371353</v>
      </c>
      <c r="E40" s="55">
        <f>SUM('Full Historical Statements'!E61:E62,'Full Historical Statements'!E64:E65)</f>
        <v>744565</v>
      </c>
      <c r="F40" s="55">
        <f>SUM('Full Historical Statements'!F61:F62,'Full Historical Statements'!F64:F65)</f>
        <v>850619</v>
      </c>
      <c r="G40" s="55">
        <f>SUM('Full Historical Statements'!G61:G62,'Full Historical Statements'!G64:G65)</f>
        <v>886874</v>
      </c>
      <c r="H40" s="55">
        <f>SUM('Full Historical Statements'!H61:H62,'Full Historical Statements'!H64:H65)</f>
        <v>950453</v>
      </c>
      <c r="I40" s="55">
        <f>SUM('Full Historical Statements'!I61:I62,'Full Historical Statements'!I64:I65)</f>
        <v>1023003.3993140467</v>
      </c>
      <c r="J40" s="55">
        <f>SUM('Full Historical Statements'!J61:J62,'Full Historical Statements'!J64:J65)</f>
        <v>1101872.2711084329</v>
      </c>
      <c r="K40" s="55">
        <f>SUM('Full Historical Statements'!K61:K62,'Full Historical Statements'!K64:K65)</f>
        <v>1294081.5853712885</v>
      </c>
      <c r="L40" s="55">
        <f>SUM('Full Historical Statements'!L61:L62,'Full Historical Statements'!L64:L65)</f>
        <v>1389817.351848118</v>
      </c>
      <c r="M40" s="55">
        <f>SUM('Full Historical Statements'!M61:M62,'Full Historical Statements'!M64:M65)</f>
        <v>1502372.2587666875</v>
      </c>
    </row>
    <row r="41" spans="1:13" x14ac:dyDescent="0.2">
      <c r="A41" s="69" t="s">
        <v>70</v>
      </c>
      <c r="B41" s="69"/>
      <c r="C41" s="53"/>
      <c r="D41" s="56">
        <f t="shared" ref="D41:M41" si="3">D38+SUM(D39:D40)</f>
        <v>1530986</v>
      </c>
      <c r="E41" s="56">
        <f t="shared" si="3"/>
        <v>3683866</v>
      </c>
      <c r="F41" s="56">
        <f t="shared" si="3"/>
        <v>3189911</v>
      </c>
      <c r="G41" s="56">
        <f t="shared" si="3"/>
        <v>2976421</v>
      </c>
      <c r="H41" s="56">
        <f t="shared" si="3"/>
        <v>2881467</v>
      </c>
      <c r="I41" s="56">
        <f t="shared" si="3"/>
        <v>2687216.7515146695</v>
      </c>
      <c r="J41" s="56">
        <f t="shared" si="3"/>
        <v>2577496.1241870131</v>
      </c>
      <c r="K41" s="56">
        <f t="shared" si="3"/>
        <v>2926106.6862334628</v>
      </c>
      <c r="L41" s="56">
        <f t="shared" si="3"/>
        <v>2690571.2456280887</v>
      </c>
      <c r="M41" s="56">
        <f t="shared" si="3"/>
        <v>2672050.3515557977</v>
      </c>
    </row>
    <row r="42" spans="1:13" x14ac:dyDescent="0.2">
      <c r="A42" s="54"/>
      <c r="B42" s="54"/>
      <c r="D42" s="55"/>
      <c r="E42" s="55"/>
      <c r="F42" s="55"/>
      <c r="G42" s="55"/>
      <c r="H42" s="55"/>
      <c r="I42" s="55"/>
      <c r="J42" s="55"/>
      <c r="K42" s="55"/>
      <c r="L42" s="55"/>
      <c r="M42" s="55"/>
    </row>
    <row r="43" spans="1:13" x14ac:dyDescent="0.2">
      <c r="A43" s="54"/>
      <c r="B43" s="54"/>
      <c r="D43" s="55"/>
      <c r="E43" s="55"/>
      <c r="F43" s="55"/>
      <c r="G43" s="55"/>
      <c r="H43" s="55"/>
      <c r="I43" s="55"/>
      <c r="J43" s="55"/>
      <c r="K43" s="55"/>
      <c r="L43" s="55"/>
      <c r="M43" s="55"/>
    </row>
    <row r="44" spans="1:13" x14ac:dyDescent="0.2">
      <c r="A44" s="66" t="s">
        <v>174</v>
      </c>
      <c r="B44" s="67"/>
      <c r="D44" s="55"/>
      <c r="E44" s="55"/>
      <c r="F44" s="55"/>
      <c r="G44" s="55"/>
      <c r="H44" s="55"/>
      <c r="I44" s="55"/>
      <c r="J44" s="55"/>
      <c r="K44" s="55"/>
      <c r="L44" s="55"/>
      <c r="M44" s="55"/>
    </row>
    <row r="45" spans="1:13" x14ac:dyDescent="0.2">
      <c r="A45" s="68" t="s">
        <v>72</v>
      </c>
      <c r="B45" s="68"/>
      <c r="D45" s="57">
        <f>'Full Historical Statements'!D69</f>
        <v>106</v>
      </c>
      <c r="E45" s="57">
        <f>'Full Historical Statements'!E69</f>
        <v>110</v>
      </c>
      <c r="F45" s="57">
        <f>'Full Historical Statements'!F69</f>
        <v>110</v>
      </c>
      <c r="G45" s="57">
        <f>'Full Historical Statements'!G69</f>
        <v>110</v>
      </c>
      <c r="H45" s="57">
        <f>'Full Historical Statements'!H69</f>
        <v>111</v>
      </c>
      <c r="I45" s="57">
        <f>'Full Historical Statements'!I69</f>
        <v>110</v>
      </c>
      <c r="J45" s="57">
        <f>'Full Historical Statements'!J69</f>
        <v>110</v>
      </c>
      <c r="K45" s="57">
        <f>'Full Historical Statements'!K69</f>
        <v>110</v>
      </c>
      <c r="L45" s="57">
        <f>'Full Historical Statements'!L69</f>
        <v>110</v>
      </c>
      <c r="M45" s="57">
        <f>'Full Historical Statements'!M69</f>
        <v>110</v>
      </c>
    </row>
    <row r="46" spans="1:13" x14ac:dyDescent="0.2">
      <c r="A46" s="67" t="s">
        <v>73</v>
      </c>
      <c r="B46" s="67"/>
      <c r="D46" s="57">
        <f>'Full Historical Statements'!D70</f>
        <v>-1684262</v>
      </c>
      <c r="E46" s="57">
        <f>'Full Historical Statements'!E70</f>
        <v>-1695501</v>
      </c>
      <c r="F46" s="57">
        <f>'Full Historical Statements'!F70</f>
        <v>-1888869</v>
      </c>
      <c r="G46" s="57">
        <f>'Full Historical Statements'!G70</f>
        <v>-2453473</v>
      </c>
      <c r="H46" s="57">
        <f>'Full Historical Statements'!H70</f>
        <v>-3040416</v>
      </c>
      <c r="I46" s="57">
        <f>'Full Historical Statements'!I70</f>
        <v>-2890416</v>
      </c>
      <c r="J46" s="57">
        <f>'Full Historical Statements'!J70</f>
        <v>-2740416</v>
      </c>
      <c r="K46" s="57">
        <f>'Full Historical Statements'!K70</f>
        <v>-2590416</v>
      </c>
      <c r="L46" s="57">
        <f>'Full Historical Statements'!L70</f>
        <v>-2440416</v>
      </c>
      <c r="M46" s="57">
        <f>'Full Historical Statements'!M70</f>
        <v>-2290416</v>
      </c>
    </row>
    <row r="47" spans="1:13" x14ac:dyDescent="0.2">
      <c r="A47" s="67" t="s">
        <v>74</v>
      </c>
      <c r="B47" s="67"/>
      <c r="D47" s="57">
        <f>'Full Historical Statements'!D71</f>
        <v>496036</v>
      </c>
      <c r="E47" s="57">
        <f>'Full Historical Statements'!E71</f>
        <v>797614</v>
      </c>
      <c r="F47" s="57">
        <f>'Full Historical Statements'!F71</f>
        <v>826685</v>
      </c>
      <c r="G47" s="57">
        <f>'Full Historical Statements'!G71</f>
        <v>859904</v>
      </c>
      <c r="H47" s="57">
        <f>'Full Historical Statements'!H71</f>
        <v>896605</v>
      </c>
      <c r="I47" s="57">
        <f>'Full Historical Statements'!I71</f>
        <v>929547</v>
      </c>
      <c r="J47" s="57">
        <f>'Full Historical Statements'!J71</f>
        <v>963779</v>
      </c>
      <c r="K47" s="57">
        <f>'Full Historical Statements'!K71</f>
        <v>998404</v>
      </c>
      <c r="L47" s="57">
        <f>'Full Historical Statements'!L71</f>
        <v>1032337</v>
      </c>
      <c r="M47" s="57">
        <f>'Full Historical Statements'!M71</f>
        <v>1066600.3333333333</v>
      </c>
    </row>
    <row r="48" spans="1:13" x14ac:dyDescent="0.2">
      <c r="A48" s="67" t="s">
        <v>75</v>
      </c>
      <c r="B48" s="67"/>
      <c r="D48" s="57">
        <f>'Full Historical Statements'!D72</f>
        <v>1279040</v>
      </c>
      <c r="E48" s="57">
        <f>'Full Historical Statements'!E72</f>
        <v>1819199</v>
      </c>
      <c r="F48" s="57">
        <f>'Full Historical Statements'!F72</f>
        <v>2611765</v>
      </c>
      <c r="G48" s="57">
        <f>'Full Historical Statements'!G72</f>
        <v>3561836</v>
      </c>
      <c r="H48" s="57">
        <f>'Full Historical Statements'!H72</f>
        <v>3480638</v>
      </c>
      <c r="I48" s="57">
        <f>'Full Historical Statements'!I72</f>
        <v>3793375.825904984</v>
      </c>
      <c r="J48" s="57">
        <f>'Full Historical Statements'!J72</f>
        <v>4243984.7263762336</v>
      </c>
      <c r="K48" s="57">
        <f>'Full Historical Statements'!K72</f>
        <v>4618020.2108920002</v>
      </c>
      <c r="L48" s="57">
        <f>'Full Historical Statements'!L72</f>
        <v>4981688.8367198817</v>
      </c>
      <c r="M48" s="57">
        <f>'Full Historical Statements'!M72</f>
        <v>5393793.9766755849</v>
      </c>
    </row>
    <row r="49" spans="1:13" x14ac:dyDescent="0.2">
      <c r="A49" s="67" t="s">
        <v>76</v>
      </c>
      <c r="B49" s="67"/>
      <c r="D49" s="57">
        <f>'Full Historical Statements'!D73</f>
        <v>-76838</v>
      </c>
      <c r="E49" s="57">
        <f>'Full Historical Statements'!E73</f>
        <v>-103491</v>
      </c>
      <c r="F49" s="57">
        <f>'Full Historical Statements'!F73</f>
        <v>-95768</v>
      </c>
      <c r="G49" s="57">
        <f>'Full Historical Statements'!G73</f>
        <v>-132645</v>
      </c>
      <c r="H49" s="57">
        <f>'Full Historical Statements'!H73</f>
        <v>-43655</v>
      </c>
      <c r="I49" s="57">
        <f>'Full Historical Statements'!I73</f>
        <v>-90689.333333333328</v>
      </c>
      <c r="J49" s="57">
        <f>'Full Historical Statements'!J73</f>
        <v>-88996.444444444438</v>
      </c>
      <c r="K49" s="57">
        <f>'Full Historical Statements'!K73</f>
        <v>-74446.925925925912</v>
      </c>
      <c r="L49" s="57">
        <f>'Full Historical Statements'!L73</f>
        <v>-84710.901234567878</v>
      </c>
      <c r="M49" s="57">
        <f>'Full Historical Statements'!M73</f>
        <v>-82718.090534979405</v>
      </c>
    </row>
    <row r="50" spans="1:13" x14ac:dyDescent="0.2">
      <c r="A50" s="69" t="s">
        <v>77</v>
      </c>
      <c r="B50" s="69"/>
      <c r="C50" s="53"/>
      <c r="D50" s="58">
        <f>'Full Historical Statements'!D74</f>
        <v>14082</v>
      </c>
      <c r="E50" s="58">
        <f>'Full Historical Statements'!E74</f>
        <v>817931</v>
      </c>
      <c r="F50" s="58">
        <f>'Full Historical Statements'!F74</f>
        <v>1453923</v>
      </c>
      <c r="G50" s="58">
        <f>'Full Historical Statements'!G74</f>
        <v>1835732</v>
      </c>
      <c r="H50" s="58">
        <f>'Full Historical Statements'!H74</f>
        <v>1293283</v>
      </c>
      <c r="I50" s="58">
        <f>'Full Historical Statements'!I74</f>
        <v>1741927.4925716508</v>
      </c>
      <c r="J50" s="58">
        <f>'Full Historical Statements'!J74</f>
        <v>2378461.2819317891</v>
      </c>
      <c r="K50" s="58">
        <f>'Full Historical Statements'!K74</f>
        <v>2951671.2849660744</v>
      </c>
      <c r="L50" s="58">
        <f>'Full Historical Statements'!L74</f>
        <v>3489008.9354853136</v>
      </c>
      <c r="M50" s="58">
        <f>'Full Historical Statements'!M74</f>
        <v>4087370.2194739385</v>
      </c>
    </row>
    <row r="51" spans="1:13" x14ac:dyDescent="0.2">
      <c r="A51" s="69" t="s">
        <v>78</v>
      </c>
      <c r="B51" s="69"/>
      <c r="C51" s="53"/>
      <c r="D51" s="56">
        <f t="shared" ref="D51:M51" si="4">D41+D50</f>
        <v>1545068</v>
      </c>
      <c r="E51" s="56">
        <f t="shared" si="4"/>
        <v>4501797</v>
      </c>
      <c r="F51" s="56">
        <f t="shared" si="4"/>
        <v>4643834</v>
      </c>
      <c r="G51" s="56">
        <f t="shared" si="4"/>
        <v>4812153</v>
      </c>
      <c r="H51" s="56">
        <f t="shared" si="4"/>
        <v>4174750</v>
      </c>
      <c r="I51" s="56">
        <f t="shared" si="4"/>
        <v>4429144.2440863205</v>
      </c>
      <c r="J51" s="56">
        <f t="shared" si="4"/>
        <v>4955957.4061188027</v>
      </c>
      <c r="K51" s="56">
        <f t="shared" si="4"/>
        <v>5877777.9711995367</v>
      </c>
      <c r="L51" s="56">
        <f t="shared" si="4"/>
        <v>6179580.1811134024</v>
      </c>
      <c r="M51" s="56">
        <f t="shared" si="4"/>
        <v>6759420.5710297357</v>
      </c>
    </row>
    <row r="52" spans="1:13" x14ac:dyDescent="0.2">
      <c r="A52" s="69" t="s">
        <v>79</v>
      </c>
      <c r="B52" s="69"/>
      <c r="C52" s="53"/>
      <c r="D52" s="56">
        <f t="shared" ref="D52:M52" si="5">D32-D51</f>
        <v>0</v>
      </c>
      <c r="E52" s="56">
        <f t="shared" si="5"/>
        <v>0</v>
      </c>
      <c r="F52" s="56">
        <f t="shared" si="5"/>
        <v>0</v>
      </c>
      <c r="G52" s="56">
        <f t="shared" si="5"/>
        <v>0</v>
      </c>
      <c r="H52" s="56">
        <f t="shared" si="5"/>
        <v>0</v>
      </c>
      <c r="I52" s="56">
        <f t="shared" si="5"/>
        <v>0</v>
      </c>
      <c r="J52" s="56">
        <f t="shared" si="5"/>
        <v>0</v>
      </c>
      <c r="K52" s="56">
        <f t="shared" si="5"/>
        <v>0</v>
      </c>
      <c r="L52" s="56">
        <f t="shared" si="5"/>
        <v>0</v>
      </c>
      <c r="M52" s="56">
        <f t="shared" si="5"/>
        <v>0</v>
      </c>
    </row>
    <row r="53" spans="1:13" x14ac:dyDescent="0.2">
      <c r="A53" s="54"/>
      <c r="B53" s="54"/>
      <c r="D53" s="55"/>
      <c r="E53" s="55"/>
      <c r="F53" s="55"/>
      <c r="G53" s="55"/>
      <c r="H53" s="55"/>
      <c r="I53" s="55"/>
      <c r="J53" s="55"/>
      <c r="K53" s="55"/>
      <c r="L53" s="55"/>
      <c r="M53" s="55"/>
    </row>
    <row r="54" spans="1:13" x14ac:dyDescent="0.2">
      <c r="A54" s="54"/>
      <c r="B54" s="54"/>
      <c r="D54" s="55"/>
      <c r="E54" s="55"/>
      <c r="F54" s="55"/>
      <c r="G54" s="55"/>
      <c r="H54" s="55"/>
      <c r="I54" s="55"/>
      <c r="J54" s="55"/>
      <c r="K54" s="55"/>
      <c r="L54" s="55"/>
      <c r="M54" s="55"/>
    </row>
    <row r="55" spans="1:13" x14ac:dyDescent="0.2">
      <c r="A55" s="66" t="s">
        <v>80</v>
      </c>
      <c r="B55" s="67"/>
      <c r="D55" s="55"/>
      <c r="E55" s="55"/>
      <c r="F55" s="55"/>
      <c r="G55" s="55"/>
      <c r="H55" s="55"/>
      <c r="I55" s="55"/>
      <c r="J55" s="55"/>
      <c r="K55" s="55"/>
      <c r="L55" s="55"/>
      <c r="M55" s="55"/>
    </row>
    <row r="56" spans="1:13" x14ac:dyDescent="0.2">
      <c r="A56" s="68" t="s">
        <v>40</v>
      </c>
      <c r="B56" s="68"/>
      <c r="D56" s="57">
        <f>'Full Historical Statements'!D80</f>
        <v>725694</v>
      </c>
      <c r="E56" s="57">
        <f>'Full Historical Statements'!E80</f>
        <v>540159</v>
      </c>
      <c r="F56" s="57">
        <f>'Full Historical Statements'!F80</f>
        <v>792566</v>
      </c>
      <c r="G56" s="57">
        <f>'Full Historical Statements'!G80</f>
        <v>950071</v>
      </c>
      <c r="H56" s="57">
        <f>'Full Historical Statements'!H80</f>
        <v>-81198</v>
      </c>
      <c r="I56" s="57">
        <f>'Full Historical Statements'!I80</f>
        <v>312737.82590498397</v>
      </c>
      <c r="J56" s="57">
        <f>'Full Historical Statements'!J80</f>
        <v>450608.90047124994</v>
      </c>
      <c r="K56" s="57">
        <f>'Full Historical Statements'!K80</f>
        <v>374035.48451576685</v>
      </c>
      <c r="L56" s="57">
        <f>'Full Historical Statements'!L80</f>
        <v>363668.62582788116</v>
      </c>
      <c r="M56" s="57">
        <f>'Full Historical Statements'!M80</f>
        <v>412105.13995570317</v>
      </c>
    </row>
    <row r="57" spans="1:13" x14ac:dyDescent="0.2">
      <c r="A57" s="67" t="s">
        <v>81</v>
      </c>
      <c r="B57" s="67"/>
      <c r="D57" s="57">
        <f>'Full Historical Statements'!D81</f>
        <v>31976</v>
      </c>
      <c r="E57" s="57">
        <f>'Full Historical Statements'!E81</f>
        <v>39229</v>
      </c>
      <c r="F57" s="57">
        <f>'Full Historical Statements'!F81</f>
        <v>54304</v>
      </c>
      <c r="G57" s="57">
        <f>'Full Historical Statements'!G81</f>
        <v>69840</v>
      </c>
      <c r="H57" s="57">
        <f>'Full Historical Statements'!H81</f>
        <v>79282</v>
      </c>
      <c r="I57" s="57">
        <f>'Full Historical Statements'!I81</f>
        <v>174203.1</v>
      </c>
      <c r="J57" s="57">
        <f>'Full Historical Statements'!J81</f>
        <v>35420.31</v>
      </c>
      <c r="K57" s="57">
        <f>'Full Historical Statements'!K81</f>
        <v>7180.6769999999988</v>
      </c>
      <c r="L57" s="57">
        <f>'Full Historical Statements'!L81</f>
        <v>11026.473899999999</v>
      </c>
      <c r="M57" s="57">
        <f>'Full Historical Statements'!M81</f>
        <v>43718.531729999995</v>
      </c>
    </row>
    <row r="58" spans="1:13" x14ac:dyDescent="0.2">
      <c r="A58" s="67" t="s">
        <v>175</v>
      </c>
      <c r="B58" s="67"/>
      <c r="D58" s="55">
        <f>'Full Historical Statements'!D82+'Full Historical Statements'!D83+'Full Historical Statements'!D84+'Full Historical Statements'!D85+'Full Historical Statements'!D86+'Full Historical Statements'!D87+'Full Historical Statements'!D88</f>
        <v>-145933</v>
      </c>
      <c r="E58" s="55">
        <f>'Full Historical Statements'!E82+'Full Historical Statements'!E83+'Full Historical Statements'!E84+'Full Historical Statements'!E85+'Full Historical Statements'!E86+'Full Historical Statements'!E87+'Full Historical Statements'!E88</f>
        <v>105489</v>
      </c>
      <c r="F58" s="55">
        <f>'Full Historical Statements'!F82+'Full Historical Statements'!F83+'Full Historical Statements'!F84+'Full Historical Statements'!F85+'Full Historical Statements'!F86+'Full Historical Statements'!F87+'Full Historical Statements'!F88</f>
        <v>-286352</v>
      </c>
      <c r="G58" s="55">
        <f>'Full Historical Statements'!G82+'Full Historical Statements'!G83+'Full Historical Statements'!G84+'Full Historical Statements'!G85+'Full Historical Statements'!G86+'Full Historical Statements'!G87+'Full Historical Statements'!G88</f>
        <v>-110026</v>
      </c>
      <c r="H58" s="55">
        <f>'Full Historical Statements'!H82+'Full Historical Statements'!H83+'Full Historical Statements'!H84+'Full Historical Statements'!H85+'Full Historical Statements'!H86+'Full Historical Statements'!H87+'Full Historical Statements'!H88</f>
        <v>926903</v>
      </c>
      <c r="I58" s="55">
        <f>'Full Historical Statements'!I82+'Full Historical Statements'!I83+'Full Historical Statements'!I84+'Full Historical Statements'!I85+'Full Historical Statements'!I86+'Full Historical Statements'!I87+'Full Historical Statements'!I88</f>
        <v>161760.65345941501</v>
      </c>
      <c r="J58" s="55">
        <f>'Full Historical Statements'!J82+'Full Historical Statements'!J83+'Full Historical Statements'!J84+'Full Historical Statements'!J85+'Full Historical Statements'!J86+'Full Historical Statements'!J87+'Full Historical Statements'!J88</f>
        <v>191853.01724787921</v>
      </c>
      <c r="K58" s="55">
        <f>'Full Historical Statements'!K82+'Full Historical Statements'!K83+'Full Historical Statements'!K84+'Full Historical Statements'!K85+'Full Historical Statements'!K86+'Full Historical Statements'!K87+'Full Historical Statements'!K88</f>
        <v>227538.63998799509</v>
      </c>
      <c r="L58" s="55">
        <f>'Full Historical Statements'!L82+'Full Historical Statements'!L83+'Full Historical Statements'!L84+'Full Historical Statements'!L85+'Full Historical Statements'!L86+'Full Historical Statements'!L87+'Full Historical Statements'!L88</f>
        <v>270092.02182623907</v>
      </c>
      <c r="M58" s="55">
        <f>'Full Historical Statements'!M82+'Full Historical Statements'!M83+'Full Historical Statements'!M84+'Full Historical Statements'!M85+'Full Historical Statements'!M86+'Full Historical Statements'!M87+'Full Historical Statements'!M88</f>
        <v>323412.55268914765</v>
      </c>
    </row>
    <row r="59" spans="1:13" x14ac:dyDescent="0.2">
      <c r="A59" s="67" t="s">
        <v>176</v>
      </c>
      <c r="B59" s="67"/>
      <c r="D59" s="55">
        <f>SUM('Full Historical Statements'!D89:D96)</f>
        <v>-44572</v>
      </c>
      <c r="E59" s="55">
        <f>SUM('Full Historical Statements'!E89:E96)</f>
        <v>-81735</v>
      </c>
      <c r="F59" s="55">
        <f>SUM('Full Historical Statements'!F89:F96)</f>
        <v>369926</v>
      </c>
      <c r="G59" s="55">
        <f>SUM('Full Historical Statements'!G89:G96)</f>
        <v>82601</v>
      </c>
      <c r="H59" s="55">
        <f>SUM('Full Historical Statements'!H89:H96)</f>
        <v>-214556</v>
      </c>
      <c r="I59" s="55">
        <f>SUM('Full Historical Statements'!I89:I96)</f>
        <v>-13791.323551720518</v>
      </c>
      <c r="J59" s="55">
        <f>SUM('Full Historical Statements'!J89:J96)</f>
        <v>-120553.7382415148</v>
      </c>
      <c r="K59" s="55">
        <f>SUM('Full Historical Statements'!K89:K96)</f>
        <v>-167360.35558798281</v>
      </c>
      <c r="L59" s="55">
        <f>SUM('Full Historical Statements'!L89:L96)</f>
        <v>-144860.06713883803</v>
      </c>
      <c r="M59" s="55">
        <f>SUM('Full Historical Statements'!M89:M96)</f>
        <v>-190263.98583978997</v>
      </c>
    </row>
    <row r="60" spans="1:13" x14ac:dyDescent="0.2">
      <c r="A60" s="69" t="s">
        <v>97</v>
      </c>
      <c r="B60" s="69"/>
      <c r="C60" s="53"/>
      <c r="D60" s="58">
        <f>'Full Historical Statements'!D97</f>
        <v>234004</v>
      </c>
      <c r="E60" s="58">
        <f>'Full Historical Statements'!E97</f>
        <v>302320</v>
      </c>
      <c r="F60" s="58">
        <f>'Full Historical Statements'!F97</f>
        <v>-106501</v>
      </c>
      <c r="G60" s="58">
        <f>'Full Historical Statements'!G97</f>
        <v>-80813</v>
      </c>
      <c r="H60" s="58">
        <f>'Full Historical Statements'!H97</f>
        <v>31778</v>
      </c>
      <c r="I60" s="58">
        <f>'Full Historical Statements'!I97</f>
        <v>47154.964337176934</v>
      </c>
      <c r="J60" s="58">
        <f>'Full Historical Statements'!J97</f>
        <v>2831.1252579374705</v>
      </c>
      <c r="K60" s="58">
        <f>'Full Historical Statements'!K97</f>
        <v>11789.60666260327</v>
      </c>
      <c r="L60" s="58">
        <f>'Full Historical Statements'!L97</f>
        <v>12088.881293269049</v>
      </c>
      <c r="M60" s="58">
        <f>'Full Historical Statements'!M97</f>
        <v>16974.31291568809</v>
      </c>
    </row>
    <row r="61" spans="1:13" x14ac:dyDescent="0.2">
      <c r="A61" s="67" t="s">
        <v>177</v>
      </c>
      <c r="B61" s="67"/>
      <c r="D61" s="57">
        <f>'Full Historical Statements'!D99</f>
        <v>-55916</v>
      </c>
      <c r="E61" s="57">
        <f>'Full Historical Statements'!E99</f>
        <v>-104190</v>
      </c>
      <c r="F61" s="57">
        <f>'Full Historical Statements'!F99</f>
        <v>-115625</v>
      </c>
      <c r="G61" s="57">
        <f>'Full Historical Statements'!G99</f>
        <v>-69347</v>
      </c>
      <c r="H61" s="57">
        <f>'Full Historical Statements'!H99</f>
        <v>-51231</v>
      </c>
      <c r="I61" s="57">
        <f>'Full Historical Statements'!I99</f>
        <v>20000</v>
      </c>
      <c r="J61" s="57">
        <f>'Full Historical Statements'!J99</f>
        <v>20000</v>
      </c>
      <c r="K61" s="57">
        <f>'Full Historical Statements'!K99</f>
        <v>20000</v>
      </c>
      <c r="L61" s="57">
        <f>'Full Historical Statements'!L99</f>
        <v>120000</v>
      </c>
      <c r="M61" s="57">
        <f>'Full Historical Statements'!M99</f>
        <v>100000</v>
      </c>
    </row>
    <row r="62" spans="1:13" x14ac:dyDescent="0.2">
      <c r="A62" s="67" t="s">
        <v>178</v>
      </c>
      <c r="B62" s="67"/>
      <c r="D62" s="55">
        <f>SUM('Full Historical Statements'!D100:D102)</f>
        <v>-9</v>
      </c>
      <c r="E62" s="55">
        <f>SUM('Full Historical Statements'!E100:E102)</f>
        <v>-2046901</v>
      </c>
      <c r="F62" s="55">
        <f>SUM('Full Historical Statements'!F100:F102)</f>
        <v>-46</v>
      </c>
      <c r="G62" s="55">
        <f>SUM('Full Historical Statements'!G100:G102)</f>
        <v>0</v>
      </c>
      <c r="H62" s="55">
        <f>SUM('Full Historical Statements'!H100:H102)</f>
        <v>0</v>
      </c>
      <c r="I62" s="55">
        <f>SUM('Full Historical Statements'!I100:I102)</f>
        <v>0</v>
      </c>
      <c r="J62" s="55">
        <f>SUM('Full Historical Statements'!J100:J102)</f>
        <v>0</v>
      </c>
      <c r="K62" s="55">
        <f>SUM('Full Historical Statements'!K100:K102)</f>
        <v>-400000</v>
      </c>
      <c r="L62" s="55">
        <f>SUM('Full Historical Statements'!L100:L102)</f>
        <v>-200000</v>
      </c>
      <c r="M62" s="55">
        <f>SUM('Full Historical Statements'!M100:M102)</f>
        <v>-500000</v>
      </c>
    </row>
    <row r="63" spans="1:13" x14ac:dyDescent="0.2">
      <c r="A63" s="69" t="s">
        <v>102</v>
      </c>
      <c r="B63" s="69"/>
      <c r="C63" s="53"/>
      <c r="D63" s="58">
        <f>'Full Historical Statements'!D103</f>
        <v>-55925</v>
      </c>
      <c r="E63" s="58">
        <f>'Full Historical Statements'!E103</f>
        <v>-2151091</v>
      </c>
      <c r="F63" s="58">
        <f>'Full Historical Statements'!F103</f>
        <v>-115671</v>
      </c>
      <c r="G63" s="58">
        <f>'Full Historical Statements'!G103</f>
        <v>-69347</v>
      </c>
      <c r="H63" s="58">
        <f>'Full Historical Statements'!H103</f>
        <v>-51231</v>
      </c>
      <c r="I63" s="58">
        <f>'Full Historical Statements'!I103</f>
        <v>20000</v>
      </c>
      <c r="J63" s="58">
        <f>'Full Historical Statements'!J103</f>
        <v>20000</v>
      </c>
      <c r="K63" s="58">
        <f>'Full Historical Statements'!K103</f>
        <v>-380000</v>
      </c>
      <c r="L63" s="58">
        <f>'Full Historical Statements'!L103</f>
        <v>-80000</v>
      </c>
      <c r="M63" s="58">
        <f>'Full Historical Statements'!M103</f>
        <v>-400000</v>
      </c>
    </row>
    <row r="64" spans="1:13" x14ac:dyDescent="0.2">
      <c r="A64" s="67" t="s">
        <v>179</v>
      </c>
      <c r="B64" s="67"/>
      <c r="D64" s="55">
        <f>SUM('Full Historical Statements'!D104:D106)</f>
        <v>605000</v>
      </c>
      <c r="E64" s="55">
        <f>SUM('Full Historical Statements'!E104:E106)</f>
        <v>1594613</v>
      </c>
      <c r="F64" s="55">
        <f>SUM('Full Historical Statements'!F104:F106)</f>
        <v>-665798</v>
      </c>
      <c r="G64" s="55">
        <f>SUM('Full Historical Statements'!G104:G106)</f>
        <v>-323249</v>
      </c>
      <c r="H64" s="55">
        <f>SUM('Full Historical Statements'!H104:H106)</f>
        <v>-128000</v>
      </c>
      <c r="I64" s="55">
        <f>SUM('Full Historical Statements'!I104:I106)</f>
        <v>-312000</v>
      </c>
      <c r="J64" s="55">
        <f>SUM('Full Historical Statements'!J104:J106)</f>
        <v>-200000</v>
      </c>
      <c r="K64" s="55">
        <f>SUM('Full Historical Statements'!K104:K106)</f>
        <v>150000</v>
      </c>
      <c r="L64" s="55">
        <f>SUM('Full Historical Statements'!L104:L106)</f>
        <v>-350000</v>
      </c>
      <c r="M64" s="55">
        <f>SUM('Full Historical Statements'!M104:M106)</f>
        <v>-150000</v>
      </c>
    </row>
    <row r="65" spans="1:13" x14ac:dyDescent="0.2">
      <c r="A65" s="67" t="s">
        <v>180</v>
      </c>
      <c r="B65" s="67"/>
      <c r="D65" s="55">
        <f>SUM('Full Historical Statements'!D107:D110)</f>
        <v>-1034638</v>
      </c>
      <c r="E65" s="55">
        <f>SUM('Full Historical Statements'!E107:E110)</f>
        <v>-64954</v>
      </c>
      <c r="F65" s="55">
        <f>SUM('Full Historical Statements'!F107:F110)</f>
        <v>-193841</v>
      </c>
      <c r="G65" s="55">
        <f>SUM('Full Historical Statements'!G107:G110)</f>
        <v>-562799</v>
      </c>
      <c r="H65" s="55">
        <f>SUM('Full Historical Statements'!H107:H110)</f>
        <v>-586565</v>
      </c>
      <c r="I65" s="55">
        <f>SUM('Full Historical Statements'!I107:I110)</f>
        <v>-159000</v>
      </c>
      <c r="J65" s="55">
        <f>SUM('Full Historical Statements'!J107:J110)</f>
        <v>-159000</v>
      </c>
      <c r="K65" s="55">
        <f>SUM('Full Historical Statements'!K107:K110)</f>
        <v>-159000</v>
      </c>
      <c r="L65" s="55">
        <f>SUM('Full Historical Statements'!L107:L110)</f>
        <v>-159000</v>
      </c>
      <c r="M65" s="55">
        <f>SUM('Full Historical Statements'!M107:M110)</f>
        <v>-159000</v>
      </c>
    </row>
    <row r="66" spans="1:13" x14ac:dyDescent="0.2">
      <c r="A66" s="69" t="s">
        <v>181</v>
      </c>
      <c r="B66" s="69"/>
      <c r="C66" s="53"/>
      <c r="D66" s="58">
        <f>'Full Historical Statements'!D111</f>
        <v>-429638</v>
      </c>
      <c r="E66" s="58">
        <f>'Full Historical Statements'!E111</f>
        <v>1529659</v>
      </c>
      <c r="F66" s="58">
        <f>'Full Historical Statements'!F111</f>
        <v>-859639</v>
      </c>
      <c r="G66" s="58">
        <f>'Full Historical Statements'!G111</f>
        <v>-886048</v>
      </c>
      <c r="H66" s="58">
        <f>'Full Historical Statements'!H111</f>
        <v>-714565</v>
      </c>
      <c r="I66" s="58">
        <f>'Full Historical Statements'!I111</f>
        <v>-471000</v>
      </c>
      <c r="J66" s="58">
        <f>'Full Historical Statements'!J111</f>
        <v>-359000</v>
      </c>
      <c r="K66" s="58">
        <f>'Full Historical Statements'!K111</f>
        <v>-9000</v>
      </c>
      <c r="L66" s="58">
        <f>'Full Historical Statements'!L111</f>
        <v>-509000</v>
      </c>
      <c r="M66" s="58">
        <f>'Full Historical Statements'!M111</f>
        <v>-309000</v>
      </c>
    </row>
    <row r="67" spans="1:13" x14ac:dyDescent="0.2">
      <c r="A67" s="67" t="s">
        <v>182</v>
      </c>
      <c r="B67" s="67"/>
      <c r="D67" s="57">
        <f>'Full Historical Statements'!D112</f>
        <v>-3950</v>
      </c>
      <c r="E67" s="57">
        <f>'Full Historical Statements'!E112</f>
        <v>-3750</v>
      </c>
      <c r="F67" s="57">
        <f>'Full Historical Statements'!F112</f>
        <v>3078</v>
      </c>
      <c r="G67" s="57">
        <f>'Full Historical Statements'!G112</f>
        <v>-6510</v>
      </c>
      <c r="H67" s="57">
        <f>'Full Historical Statements'!H112</f>
        <v>5598</v>
      </c>
      <c r="I67" s="57">
        <f>'Full Historical Statements'!I112</f>
        <v>722</v>
      </c>
      <c r="J67" s="57">
        <f>'Full Historical Statements'!J112</f>
        <v>-63.333333333333336</v>
      </c>
      <c r="K67" s="57">
        <f>'Full Historical Statements'!K112</f>
        <v>2085.5555555555557</v>
      </c>
      <c r="L67" s="57">
        <f>'Full Historical Statements'!L112</f>
        <v>914.74074074074076</v>
      </c>
      <c r="M67" s="57">
        <f>'Full Historical Statements'!M112</f>
        <v>978.98765432098764</v>
      </c>
    </row>
    <row r="68" spans="1:13" x14ac:dyDescent="0.2">
      <c r="A68" s="69" t="s">
        <v>183</v>
      </c>
      <c r="B68" s="69"/>
      <c r="C68" s="53"/>
      <c r="D68" s="58">
        <f>'Full Historical Statements'!D113</f>
        <v>77652</v>
      </c>
      <c r="E68" s="58">
        <f>'Full Historical Statements'!E113</f>
        <v>-22040</v>
      </c>
      <c r="F68" s="58">
        <f>'Full Historical Statements'!F113</f>
        <v>-41788</v>
      </c>
      <c r="G68" s="58">
        <f>'Full Historical Statements'!G113</f>
        <v>30581</v>
      </c>
      <c r="H68" s="58">
        <f>'Full Historical Statements'!H113</f>
        <v>-49767</v>
      </c>
      <c r="I68" s="58">
        <f>'Full Historical Statements'!I113</f>
        <v>184632.25581267849</v>
      </c>
      <c r="J68" s="58">
        <f>'Full Historical Statements'!J113</f>
        <v>218265.15614428106</v>
      </c>
      <c r="K68" s="58">
        <f>'Full Historical Statements'!K113</f>
        <v>54480.001471334595</v>
      </c>
      <c r="L68" s="58">
        <f>'Full Historical Statements'!L113</f>
        <v>-88158.204843977102</v>
      </c>
      <c r="M68" s="58">
        <f>'Full Historical Statements'!M113</f>
        <v>-119048.77381061812</v>
      </c>
    </row>
    <row r="69" spans="1:13" x14ac:dyDescent="0.2">
      <c r="A69" s="67" t="s">
        <v>184</v>
      </c>
      <c r="B69" s="67"/>
      <c r="D69" s="57">
        <f>'Full Historical Statements'!D114</f>
        <v>139273</v>
      </c>
      <c r="E69" s="57">
        <f>'Full Historical Statements'!E114</f>
        <v>216925</v>
      </c>
      <c r="F69" s="57">
        <f>'Full Historical Statements'!F114</f>
        <v>194885</v>
      </c>
      <c r="G69" s="57">
        <f>'Full Historical Statements'!G114</f>
        <v>153097</v>
      </c>
      <c r="H69" s="57">
        <f>'Full Historical Statements'!H114</f>
        <v>183678</v>
      </c>
      <c r="I69" s="57">
        <f>'Full Historical Statements'!I114</f>
        <v>177220</v>
      </c>
      <c r="J69" s="57">
        <f>'Full Historical Statements'!J114</f>
        <v>171331.66666666666</v>
      </c>
      <c r="K69" s="57">
        <f>'Full Historical Statements'!K114</f>
        <v>177409.88888888888</v>
      </c>
      <c r="L69" s="57">
        <f>'Full Historical Statements'!L114</f>
        <v>175320.51851851851</v>
      </c>
      <c r="M69" s="57">
        <f>'Full Historical Statements'!M114</f>
        <v>174687.35802469135</v>
      </c>
    </row>
    <row r="70" spans="1:13" x14ac:dyDescent="0.2">
      <c r="A70" s="69" t="s">
        <v>185</v>
      </c>
      <c r="B70" s="69"/>
      <c r="C70" s="53"/>
      <c r="D70" s="58">
        <f>'Full Historical Statements'!D115</f>
        <v>216925</v>
      </c>
      <c r="E70" s="58">
        <f>'Full Historical Statements'!E115</f>
        <v>194885</v>
      </c>
      <c r="F70" s="58">
        <f>'Full Historical Statements'!F115</f>
        <v>153097</v>
      </c>
      <c r="G70" s="58">
        <f>'Full Historical Statements'!G115</f>
        <v>183678</v>
      </c>
      <c r="H70" s="58">
        <f>'Full Historical Statements'!H115</f>
        <v>133911</v>
      </c>
      <c r="I70" s="58">
        <f>'Full Historical Statements'!I115</f>
        <v>361852.25581267849</v>
      </c>
      <c r="J70" s="58">
        <f>'Full Historical Statements'!J115</f>
        <v>389596.82281094772</v>
      </c>
      <c r="K70" s="58">
        <f>'Full Historical Statements'!K115</f>
        <v>231889.89036022348</v>
      </c>
      <c r="L70" s="58">
        <f>'Full Historical Statements'!L115</f>
        <v>87162.313674541409</v>
      </c>
      <c r="M70" s="58">
        <f>'Full Historical Statements'!M115</f>
        <v>55638.584214073227</v>
      </c>
    </row>
    <row r="71" spans="1:13" x14ac:dyDescent="0.2">
      <c r="A71" s="69" t="s">
        <v>186</v>
      </c>
      <c r="B71" s="69"/>
      <c r="C71" s="53"/>
      <c r="D71" s="56">
        <f t="shared" ref="D71:M71" si="6">D70-D23</f>
        <v>3728</v>
      </c>
      <c r="E71" s="56">
        <f t="shared" si="6"/>
        <v>3256</v>
      </c>
      <c r="F71" s="56">
        <f t="shared" si="6"/>
        <v>3809</v>
      </c>
      <c r="G71" s="56">
        <f t="shared" si="6"/>
        <v>3193</v>
      </c>
      <c r="H71" s="56">
        <f t="shared" si="6"/>
        <v>3557</v>
      </c>
      <c r="I71" s="56">
        <f t="shared" si="6"/>
        <v>369950.67177592032</v>
      </c>
      <c r="J71" s="56">
        <f t="shared" si="6"/>
        <v>-144860.41643999534</v>
      </c>
      <c r="K71" s="56">
        <f t="shared" si="6"/>
        <v>-1041051.809745412</v>
      </c>
      <c r="L71" s="56">
        <f t="shared" si="6"/>
        <v>-1321888.7029486781</v>
      </c>
      <c r="M71" s="56">
        <f t="shared" si="6"/>
        <v>-1886726.4334275411</v>
      </c>
    </row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  <row r="217" customFormat="1" x14ac:dyDescent="0.2"/>
    <row r="218" customFormat="1" x14ac:dyDescent="0.2"/>
    <row r="219" customFormat="1" x14ac:dyDescent="0.2"/>
    <row r="220" customFormat="1" x14ac:dyDescent="0.2"/>
    <row r="221" customFormat="1" x14ac:dyDescent="0.2"/>
    <row r="222" customFormat="1" x14ac:dyDescent="0.2"/>
    <row r="223" customFormat="1" x14ac:dyDescent="0.2"/>
    <row r="224" customFormat="1" x14ac:dyDescent="0.2"/>
    <row r="225" customFormat="1" x14ac:dyDescent="0.2"/>
    <row r="226" customFormat="1" x14ac:dyDescent="0.2"/>
    <row r="227" customFormat="1" x14ac:dyDescent="0.2"/>
    <row r="228" customFormat="1" x14ac:dyDescent="0.2"/>
    <row r="229" customFormat="1" x14ac:dyDescent="0.2"/>
    <row r="230" customFormat="1" x14ac:dyDescent="0.2"/>
    <row r="231" customFormat="1" x14ac:dyDescent="0.2"/>
    <row r="232" customFormat="1" x14ac:dyDescent="0.2"/>
    <row r="233" customFormat="1" x14ac:dyDescent="0.2"/>
    <row r="234" customFormat="1" x14ac:dyDescent="0.2"/>
    <row r="235" customFormat="1" x14ac:dyDescent="0.2"/>
    <row r="236" customFormat="1" x14ac:dyDescent="0.2"/>
    <row r="237" customFormat="1" x14ac:dyDescent="0.2"/>
    <row r="238" customFormat="1" x14ac:dyDescent="0.2"/>
    <row r="239" customFormat="1" x14ac:dyDescent="0.2"/>
    <row r="240" customFormat="1" x14ac:dyDescent="0.2"/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  <row r="249" customFormat="1" x14ac:dyDescent="0.2"/>
    <row r="250" customFormat="1" x14ac:dyDescent="0.2"/>
    <row r="251" customFormat="1" x14ac:dyDescent="0.2"/>
    <row r="252" customFormat="1" x14ac:dyDescent="0.2"/>
    <row r="253" customFormat="1" x14ac:dyDescent="0.2"/>
    <row r="254" customFormat="1" x14ac:dyDescent="0.2"/>
    <row r="255" customFormat="1" x14ac:dyDescent="0.2"/>
    <row r="256" customFormat="1" x14ac:dyDescent="0.2"/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  <row r="262" customFormat="1" x14ac:dyDescent="0.2"/>
    <row r="263" customFormat="1" x14ac:dyDescent="0.2"/>
    <row r="264" customFormat="1" x14ac:dyDescent="0.2"/>
    <row r="265" customFormat="1" x14ac:dyDescent="0.2"/>
    <row r="266" customFormat="1" x14ac:dyDescent="0.2"/>
    <row r="267" customFormat="1" x14ac:dyDescent="0.2"/>
    <row r="268" customFormat="1" x14ac:dyDescent="0.2"/>
    <row r="269" customFormat="1" x14ac:dyDescent="0.2"/>
    <row r="270" customFormat="1" x14ac:dyDescent="0.2"/>
    <row r="271" customFormat="1" x14ac:dyDescent="0.2"/>
    <row r="272" customFormat="1" x14ac:dyDescent="0.2"/>
    <row r="273" customFormat="1" x14ac:dyDescent="0.2"/>
    <row r="274" customFormat="1" x14ac:dyDescent="0.2"/>
    <row r="275" customFormat="1" x14ac:dyDescent="0.2"/>
    <row r="276" customFormat="1" x14ac:dyDescent="0.2"/>
    <row r="277" customFormat="1" x14ac:dyDescent="0.2"/>
    <row r="278" customFormat="1" x14ac:dyDescent="0.2"/>
    <row r="279" customFormat="1" x14ac:dyDescent="0.2"/>
    <row r="280" customFormat="1" x14ac:dyDescent="0.2"/>
    <row r="281" customFormat="1" x14ac:dyDescent="0.2"/>
    <row r="282" customFormat="1" x14ac:dyDescent="0.2"/>
    <row r="283" customFormat="1" x14ac:dyDescent="0.2"/>
    <row r="284" customFormat="1" x14ac:dyDescent="0.2"/>
    <row r="285" customFormat="1" x14ac:dyDescent="0.2"/>
    <row r="286" customFormat="1" x14ac:dyDescent="0.2"/>
    <row r="287" customFormat="1" x14ac:dyDescent="0.2"/>
    <row r="288" customFormat="1" x14ac:dyDescent="0.2"/>
    <row r="289" customFormat="1" x14ac:dyDescent="0.2"/>
    <row r="290" customFormat="1" x14ac:dyDescent="0.2"/>
    <row r="291" customFormat="1" x14ac:dyDescent="0.2"/>
    <row r="292" customFormat="1" x14ac:dyDescent="0.2"/>
    <row r="293" customFormat="1" x14ac:dyDescent="0.2"/>
    <row r="294" customFormat="1" x14ac:dyDescent="0.2"/>
    <row r="295" customFormat="1" x14ac:dyDescent="0.2"/>
    <row r="296" customFormat="1" x14ac:dyDescent="0.2"/>
    <row r="297" customFormat="1" x14ac:dyDescent="0.2"/>
    <row r="298" customFormat="1" x14ac:dyDescent="0.2"/>
    <row r="299" customFormat="1" x14ac:dyDescent="0.2"/>
    <row r="300" customFormat="1" x14ac:dyDescent="0.2"/>
    <row r="301" customFormat="1" x14ac:dyDescent="0.2"/>
    <row r="302" customFormat="1" x14ac:dyDescent="0.2"/>
    <row r="303" customFormat="1" x14ac:dyDescent="0.2"/>
    <row r="304" customFormat="1" x14ac:dyDescent="0.2"/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  <row r="321" customFormat="1" x14ac:dyDescent="0.2"/>
    <row r="322" customFormat="1" x14ac:dyDescent="0.2"/>
    <row r="323" customFormat="1" x14ac:dyDescent="0.2"/>
    <row r="324" customFormat="1" x14ac:dyDescent="0.2"/>
    <row r="325" customFormat="1" x14ac:dyDescent="0.2"/>
    <row r="326" customFormat="1" x14ac:dyDescent="0.2"/>
    <row r="327" customFormat="1" x14ac:dyDescent="0.2"/>
    <row r="328" customFormat="1" x14ac:dyDescent="0.2"/>
    <row r="329" customFormat="1" x14ac:dyDescent="0.2"/>
    <row r="330" customFormat="1" x14ac:dyDescent="0.2"/>
    <row r="331" customFormat="1" x14ac:dyDescent="0.2"/>
    <row r="332" customFormat="1" x14ac:dyDescent="0.2"/>
    <row r="333" customFormat="1" x14ac:dyDescent="0.2"/>
    <row r="334" customFormat="1" x14ac:dyDescent="0.2"/>
    <row r="335" customFormat="1" x14ac:dyDescent="0.2"/>
    <row r="336" customFormat="1" x14ac:dyDescent="0.2"/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  <row r="364" customFormat="1" x14ac:dyDescent="0.2"/>
    <row r="365" customFormat="1" x14ac:dyDescent="0.2"/>
    <row r="366" customFormat="1" x14ac:dyDescent="0.2"/>
    <row r="367" customFormat="1" x14ac:dyDescent="0.2"/>
    <row r="368" customFormat="1" x14ac:dyDescent="0.2"/>
    <row r="369" customFormat="1" x14ac:dyDescent="0.2"/>
    <row r="370" customFormat="1" x14ac:dyDescent="0.2"/>
    <row r="371" customFormat="1" x14ac:dyDescent="0.2"/>
    <row r="372" customFormat="1" x14ac:dyDescent="0.2"/>
    <row r="373" customFormat="1" x14ac:dyDescent="0.2"/>
    <row r="374" customFormat="1" x14ac:dyDescent="0.2"/>
    <row r="375" customFormat="1" x14ac:dyDescent="0.2"/>
    <row r="376" customFormat="1" x14ac:dyDescent="0.2"/>
    <row r="377" customFormat="1" x14ac:dyDescent="0.2"/>
    <row r="378" customFormat="1" x14ac:dyDescent="0.2"/>
    <row r="379" customFormat="1" x14ac:dyDescent="0.2"/>
    <row r="380" customFormat="1" x14ac:dyDescent="0.2"/>
    <row r="381" customFormat="1" x14ac:dyDescent="0.2"/>
    <row r="382" customFormat="1" x14ac:dyDescent="0.2"/>
    <row r="383" customFormat="1" x14ac:dyDescent="0.2"/>
    <row r="384" customFormat="1" x14ac:dyDescent="0.2"/>
    <row r="385" customFormat="1" x14ac:dyDescent="0.2"/>
    <row r="386" customFormat="1" x14ac:dyDescent="0.2"/>
    <row r="387" customFormat="1" x14ac:dyDescent="0.2"/>
    <row r="388" customFormat="1" x14ac:dyDescent="0.2"/>
    <row r="389" customFormat="1" x14ac:dyDescent="0.2"/>
    <row r="390" customFormat="1" x14ac:dyDescent="0.2"/>
    <row r="391" customFormat="1" x14ac:dyDescent="0.2"/>
    <row r="392" customFormat="1" x14ac:dyDescent="0.2"/>
    <row r="393" customFormat="1" x14ac:dyDescent="0.2"/>
    <row r="394" customFormat="1" x14ac:dyDescent="0.2"/>
    <row r="395" customFormat="1" x14ac:dyDescent="0.2"/>
    <row r="396" customFormat="1" x14ac:dyDescent="0.2"/>
    <row r="397" customFormat="1" x14ac:dyDescent="0.2"/>
    <row r="398" customFormat="1" x14ac:dyDescent="0.2"/>
    <row r="399" customFormat="1" x14ac:dyDescent="0.2"/>
    <row r="400" customFormat="1" x14ac:dyDescent="0.2"/>
    <row r="401" customFormat="1" x14ac:dyDescent="0.2"/>
    <row r="402" customFormat="1" x14ac:dyDescent="0.2"/>
    <row r="403" customFormat="1" x14ac:dyDescent="0.2"/>
    <row r="404" customFormat="1" x14ac:dyDescent="0.2"/>
    <row r="405" customFormat="1" x14ac:dyDescent="0.2"/>
    <row r="406" customFormat="1" x14ac:dyDescent="0.2"/>
    <row r="407" customFormat="1" x14ac:dyDescent="0.2"/>
    <row r="408" customFormat="1" x14ac:dyDescent="0.2"/>
    <row r="409" customFormat="1" x14ac:dyDescent="0.2"/>
    <row r="410" customFormat="1" x14ac:dyDescent="0.2"/>
    <row r="411" customFormat="1" x14ac:dyDescent="0.2"/>
    <row r="412" customFormat="1" x14ac:dyDescent="0.2"/>
    <row r="413" customFormat="1" x14ac:dyDescent="0.2"/>
    <row r="414" customFormat="1" x14ac:dyDescent="0.2"/>
    <row r="415" customFormat="1" x14ac:dyDescent="0.2"/>
    <row r="416" customFormat="1" x14ac:dyDescent="0.2"/>
    <row r="417" customFormat="1" x14ac:dyDescent="0.2"/>
    <row r="418" customFormat="1" x14ac:dyDescent="0.2"/>
    <row r="419" customFormat="1" x14ac:dyDescent="0.2"/>
    <row r="420" customFormat="1" x14ac:dyDescent="0.2"/>
    <row r="421" customFormat="1" x14ac:dyDescent="0.2"/>
    <row r="422" customFormat="1" x14ac:dyDescent="0.2"/>
    <row r="423" customFormat="1" x14ac:dyDescent="0.2"/>
    <row r="424" customFormat="1" x14ac:dyDescent="0.2"/>
    <row r="425" customFormat="1" x14ac:dyDescent="0.2"/>
    <row r="426" customFormat="1" x14ac:dyDescent="0.2"/>
    <row r="427" customFormat="1" x14ac:dyDescent="0.2"/>
    <row r="428" customFormat="1" x14ac:dyDescent="0.2"/>
    <row r="429" customFormat="1" x14ac:dyDescent="0.2"/>
    <row r="430" customFormat="1" x14ac:dyDescent="0.2"/>
    <row r="431" customFormat="1" x14ac:dyDescent="0.2"/>
    <row r="432" customFormat="1" x14ac:dyDescent="0.2"/>
    <row r="433" customFormat="1" x14ac:dyDescent="0.2"/>
    <row r="434" customFormat="1" x14ac:dyDescent="0.2"/>
    <row r="435" customFormat="1" x14ac:dyDescent="0.2"/>
    <row r="436" customFormat="1" x14ac:dyDescent="0.2"/>
    <row r="437" customFormat="1" x14ac:dyDescent="0.2"/>
    <row r="438" customFormat="1" x14ac:dyDescent="0.2"/>
    <row r="439" customFormat="1" x14ac:dyDescent="0.2"/>
    <row r="440" customFormat="1" x14ac:dyDescent="0.2"/>
    <row r="441" customFormat="1" x14ac:dyDescent="0.2"/>
    <row r="442" customFormat="1" x14ac:dyDescent="0.2"/>
    <row r="443" customFormat="1" x14ac:dyDescent="0.2"/>
    <row r="444" customFormat="1" x14ac:dyDescent="0.2"/>
    <row r="445" customFormat="1" x14ac:dyDescent="0.2"/>
    <row r="446" customFormat="1" x14ac:dyDescent="0.2"/>
    <row r="447" customFormat="1" x14ac:dyDescent="0.2"/>
    <row r="448" customFormat="1" x14ac:dyDescent="0.2"/>
    <row r="449" customFormat="1" x14ac:dyDescent="0.2"/>
    <row r="450" customFormat="1" x14ac:dyDescent="0.2"/>
    <row r="451" customFormat="1" x14ac:dyDescent="0.2"/>
    <row r="452" customFormat="1" x14ac:dyDescent="0.2"/>
    <row r="453" customFormat="1" x14ac:dyDescent="0.2"/>
    <row r="454" customFormat="1" x14ac:dyDescent="0.2"/>
    <row r="455" customFormat="1" x14ac:dyDescent="0.2"/>
    <row r="456" customFormat="1" x14ac:dyDescent="0.2"/>
    <row r="457" customFormat="1" x14ac:dyDescent="0.2"/>
    <row r="458" customFormat="1" x14ac:dyDescent="0.2"/>
    <row r="459" customFormat="1" x14ac:dyDescent="0.2"/>
    <row r="460" customFormat="1" x14ac:dyDescent="0.2"/>
    <row r="461" customFormat="1" x14ac:dyDescent="0.2"/>
    <row r="462" customFormat="1" x14ac:dyDescent="0.2"/>
    <row r="463" customFormat="1" x14ac:dyDescent="0.2"/>
    <row r="464" customFormat="1" x14ac:dyDescent="0.2"/>
    <row r="465" customFormat="1" x14ac:dyDescent="0.2"/>
    <row r="466" customFormat="1" x14ac:dyDescent="0.2"/>
    <row r="467" customFormat="1" x14ac:dyDescent="0.2"/>
    <row r="468" customFormat="1" x14ac:dyDescent="0.2"/>
    <row r="469" customFormat="1" x14ac:dyDescent="0.2"/>
    <row r="470" customFormat="1" x14ac:dyDescent="0.2"/>
    <row r="471" customFormat="1" x14ac:dyDescent="0.2"/>
    <row r="472" customFormat="1" x14ac:dyDescent="0.2"/>
    <row r="473" customFormat="1" x14ac:dyDescent="0.2"/>
    <row r="474" customFormat="1" x14ac:dyDescent="0.2"/>
    <row r="475" customFormat="1" x14ac:dyDescent="0.2"/>
    <row r="476" customFormat="1" x14ac:dyDescent="0.2"/>
    <row r="477" customFormat="1" x14ac:dyDescent="0.2"/>
    <row r="478" customFormat="1" x14ac:dyDescent="0.2"/>
    <row r="479" customFormat="1" x14ac:dyDescent="0.2"/>
    <row r="480" customFormat="1" x14ac:dyDescent="0.2"/>
    <row r="481" customFormat="1" x14ac:dyDescent="0.2"/>
    <row r="482" customFormat="1" x14ac:dyDescent="0.2"/>
    <row r="483" customFormat="1" x14ac:dyDescent="0.2"/>
    <row r="484" customFormat="1" x14ac:dyDescent="0.2"/>
    <row r="485" customFormat="1" x14ac:dyDescent="0.2"/>
    <row r="486" customFormat="1" x14ac:dyDescent="0.2"/>
    <row r="487" customFormat="1" x14ac:dyDescent="0.2"/>
    <row r="488" customFormat="1" x14ac:dyDescent="0.2"/>
    <row r="489" customFormat="1" x14ac:dyDescent="0.2"/>
    <row r="490" customFormat="1" x14ac:dyDescent="0.2"/>
    <row r="491" customFormat="1" x14ac:dyDescent="0.2"/>
    <row r="492" customFormat="1" x14ac:dyDescent="0.2"/>
    <row r="493" customFormat="1" x14ac:dyDescent="0.2"/>
    <row r="494" customFormat="1" x14ac:dyDescent="0.2"/>
    <row r="495" customFormat="1" x14ac:dyDescent="0.2"/>
    <row r="496" customFormat="1" x14ac:dyDescent="0.2"/>
    <row r="497" customFormat="1" x14ac:dyDescent="0.2"/>
    <row r="498" customFormat="1" x14ac:dyDescent="0.2"/>
    <row r="499" customFormat="1" x14ac:dyDescent="0.2"/>
    <row r="500" customFormat="1" x14ac:dyDescent="0.2"/>
    <row r="501" customFormat="1" x14ac:dyDescent="0.2"/>
    <row r="502" customFormat="1" x14ac:dyDescent="0.2"/>
    <row r="503" customFormat="1" x14ac:dyDescent="0.2"/>
    <row r="504" customFormat="1" x14ac:dyDescent="0.2"/>
    <row r="505" customFormat="1" x14ac:dyDescent="0.2"/>
    <row r="506" customFormat="1" x14ac:dyDescent="0.2"/>
    <row r="507" customFormat="1" x14ac:dyDescent="0.2"/>
    <row r="508" customFormat="1" x14ac:dyDescent="0.2"/>
    <row r="509" customFormat="1" x14ac:dyDescent="0.2"/>
    <row r="510" customFormat="1" x14ac:dyDescent="0.2"/>
    <row r="511" customFormat="1" x14ac:dyDescent="0.2"/>
    <row r="512" customFormat="1" x14ac:dyDescent="0.2"/>
    <row r="513" customFormat="1" x14ac:dyDescent="0.2"/>
    <row r="514" customFormat="1" x14ac:dyDescent="0.2"/>
    <row r="515" customFormat="1" x14ac:dyDescent="0.2"/>
    <row r="516" customFormat="1" x14ac:dyDescent="0.2"/>
    <row r="517" customFormat="1" x14ac:dyDescent="0.2"/>
    <row r="518" customFormat="1" x14ac:dyDescent="0.2"/>
    <row r="519" customFormat="1" x14ac:dyDescent="0.2"/>
    <row r="520" customFormat="1" x14ac:dyDescent="0.2"/>
    <row r="521" customFormat="1" x14ac:dyDescent="0.2"/>
    <row r="522" customFormat="1" x14ac:dyDescent="0.2"/>
    <row r="523" customFormat="1" x14ac:dyDescent="0.2"/>
    <row r="524" customFormat="1" x14ac:dyDescent="0.2"/>
    <row r="525" customFormat="1" x14ac:dyDescent="0.2"/>
    <row r="526" customFormat="1" x14ac:dyDescent="0.2"/>
    <row r="527" customFormat="1" x14ac:dyDescent="0.2"/>
    <row r="528" customFormat="1" x14ac:dyDescent="0.2"/>
    <row r="529" customFormat="1" x14ac:dyDescent="0.2"/>
    <row r="530" customFormat="1" x14ac:dyDescent="0.2"/>
    <row r="531" customFormat="1" x14ac:dyDescent="0.2"/>
    <row r="532" customFormat="1" x14ac:dyDescent="0.2"/>
    <row r="533" customFormat="1" x14ac:dyDescent="0.2"/>
    <row r="534" customFormat="1" x14ac:dyDescent="0.2"/>
    <row r="535" customFormat="1" x14ac:dyDescent="0.2"/>
    <row r="536" customFormat="1" x14ac:dyDescent="0.2"/>
    <row r="537" customFormat="1" x14ac:dyDescent="0.2"/>
    <row r="538" customFormat="1" x14ac:dyDescent="0.2"/>
    <row r="539" customFormat="1" x14ac:dyDescent="0.2"/>
    <row r="540" customFormat="1" x14ac:dyDescent="0.2"/>
    <row r="541" customFormat="1" x14ac:dyDescent="0.2"/>
    <row r="542" customFormat="1" x14ac:dyDescent="0.2"/>
    <row r="543" customFormat="1" x14ac:dyDescent="0.2"/>
    <row r="544" customFormat="1" x14ac:dyDescent="0.2"/>
    <row r="545" customFormat="1" x14ac:dyDescent="0.2"/>
    <row r="546" customFormat="1" x14ac:dyDescent="0.2"/>
    <row r="547" customFormat="1" x14ac:dyDescent="0.2"/>
    <row r="548" customFormat="1" x14ac:dyDescent="0.2"/>
    <row r="549" customFormat="1" x14ac:dyDescent="0.2"/>
    <row r="550" customFormat="1" x14ac:dyDescent="0.2"/>
    <row r="551" customFormat="1" x14ac:dyDescent="0.2"/>
    <row r="552" customFormat="1" x14ac:dyDescent="0.2"/>
    <row r="553" customFormat="1" x14ac:dyDescent="0.2"/>
    <row r="554" customFormat="1" x14ac:dyDescent="0.2"/>
    <row r="555" customFormat="1" x14ac:dyDescent="0.2"/>
    <row r="556" customFormat="1" x14ac:dyDescent="0.2"/>
    <row r="557" customFormat="1" x14ac:dyDescent="0.2"/>
    <row r="558" customFormat="1" x14ac:dyDescent="0.2"/>
    <row r="559" customFormat="1" x14ac:dyDescent="0.2"/>
    <row r="560" customFormat="1" x14ac:dyDescent="0.2"/>
    <row r="561" customFormat="1" x14ac:dyDescent="0.2"/>
    <row r="562" customFormat="1" x14ac:dyDescent="0.2"/>
    <row r="563" customFormat="1" x14ac:dyDescent="0.2"/>
    <row r="564" customFormat="1" x14ac:dyDescent="0.2"/>
    <row r="565" customFormat="1" x14ac:dyDescent="0.2"/>
    <row r="566" customFormat="1" x14ac:dyDescent="0.2"/>
    <row r="567" customFormat="1" x14ac:dyDescent="0.2"/>
    <row r="568" customFormat="1" x14ac:dyDescent="0.2"/>
    <row r="569" customFormat="1" x14ac:dyDescent="0.2"/>
    <row r="570" customFormat="1" x14ac:dyDescent="0.2"/>
    <row r="571" customFormat="1" x14ac:dyDescent="0.2"/>
    <row r="572" customFormat="1" x14ac:dyDescent="0.2"/>
    <row r="573" customFormat="1" x14ac:dyDescent="0.2"/>
    <row r="574" customFormat="1" x14ac:dyDescent="0.2"/>
    <row r="575" customFormat="1" x14ac:dyDescent="0.2"/>
    <row r="576" customFormat="1" x14ac:dyDescent="0.2"/>
    <row r="577" customFormat="1" x14ac:dyDescent="0.2"/>
    <row r="578" customFormat="1" x14ac:dyDescent="0.2"/>
    <row r="579" customFormat="1" x14ac:dyDescent="0.2"/>
    <row r="580" customFormat="1" x14ac:dyDescent="0.2"/>
    <row r="581" customFormat="1" x14ac:dyDescent="0.2"/>
    <row r="582" customFormat="1" x14ac:dyDescent="0.2"/>
    <row r="583" customFormat="1" x14ac:dyDescent="0.2"/>
    <row r="584" customFormat="1" x14ac:dyDescent="0.2"/>
    <row r="585" customFormat="1" x14ac:dyDescent="0.2"/>
    <row r="586" customFormat="1" x14ac:dyDescent="0.2"/>
    <row r="587" customFormat="1" x14ac:dyDescent="0.2"/>
    <row r="588" customFormat="1" x14ac:dyDescent="0.2"/>
    <row r="589" customFormat="1" x14ac:dyDescent="0.2"/>
    <row r="590" customFormat="1" x14ac:dyDescent="0.2"/>
    <row r="591" customFormat="1" x14ac:dyDescent="0.2"/>
    <row r="592" customFormat="1" x14ac:dyDescent="0.2"/>
    <row r="593" customFormat="1" x14ac:dyDescent="0.2"/>
    <row r="594" customFormat="1" x14ac:dyDescent="0.2"/>
    <row r="595" customFormat="1" x14ac:dyDescent="0.2"/>
    <row r="596" customFormat="1" x14ac:dyDescent="0.2"/>
    <row r="597" customFormat="1" x14ac:dyDescent="0.2"/>
    <row r="598" customFormat="1" x14ac:dyDescent="0.2"/>
    <row r="599" customFormat="1" x14ac:dyDescent="0.2"/>
    <row r="600" customFormat="1" x14ac:dyDescent="0.2"/>
    <row r="601" customFormat="1" x14ac:dyDescent="0.2"/>
    <row r="602" customFormat="1" x14ac:dyDescent="0.2"/>
    <row r="603" customFormat="1" x14ac:dyDescent="0.2"/>
    <row r="604" customFormat="1" x14ac:dyDescent="0.2"/>
    <row r="605" customFormat="1" x14ac:dyDescent="0.2"/>
    <row r="606" customFormat="1" x14ac:dyDescent="0.2"/>
    <row r="607" customFormat="1" x14ac:dyDescent="0.2"/>
    <row r="608" customFormat="1" x14ac:dyDescent="0.2"/>
    <row r="609" customFormat="1" x14ac:dyDescent="0.2"/>
    <row r="610" customFormat="1" x14ac:dyDescent="0.2"/>
    <row r="611" customFormat="1" x14ac:dyDescent="0.2"/>
    <row r="612" customFormat="1" x14ac:dyDescent="0.2"/>
    <row r="613" customFormat="1" x14ac:dyDescent="0.2"/>
    <row r="614" customFormat="1" x14ac:dyDescent="0.2"/>
    <row r="615" customFormat="1" x14ac:dyDescent="0.2"/>
    <row r="616" customFormat="1" x14ac:dyDescent="0.2"/>
    <row r="617" customFormat="1" x14ac:dyDescent="0.2"/>
    <row r="618" customFormat="1" x14ac:dyDescent="0.2"/>
    <row r="619" customFormat="1" x14ac:dyDescent="0.2"/>
    <row r="620" customFormat="1" x14ac:dyDescent="0.2"/>
    <row r="621" customFormat="1" x14ac:dyDescent="0.2"/>
    <row r="622" customFormat="1" x14ac:dyDescent="0.2"/>
    <row r="623" customFormat="1" x14ac:dyDescent="0.2"/>
    <row r="624" customFormat="1" x14ac:dyDescent="0.2"/>
    <row r="625" customFormat="1" x14ac:dyDescent="0.2"/>
    <row r="626" customFormat="1" x14ac:dyDescent="0.2"/>
    <row r="627" customFormat="1" x14ac:dyDescent="0.2"/>
    <row r="628" customFormat="1" x14ac:dyDescent="0.2"/>
    <row r="629" customFormat="1" x14ac:dyDescent="0.2"/>
    <row r="630" customFormat="1" x14ac:dyDescent="0.2"/>
    <row r="631" customFormat="1" x14ac:dyDescent="0.2"/>
    <row r="632" customFormat="1" x14ac:dyDescent="0.2"/>
    <row r="633" customFormat="1" x14ac:dyDescent="0.2"/>
    <row r="634" customFormat="1" x14ac:dyDescent="0.2"/>
    <row r="635" customFormat="1" x14ac:dyDescent="0.2"/>
    <row r="636" customFormat="1" x14ac:dyDescent="0.2"/>
    <row r="637" customFormat="1" x14ac:dyDescent="0.2"/>
    <row r="638" customFormat="1" x14ac:dyDescent="0.2"/>
    <row r="639" customFormat="1" x14ac:dyDescent="0.2"/>
    <row r="640" customFormat="1" x14ac:dyDescent="0.2"/>
    <row r="641" customFormat="1" x14ac:dyDescent="0.2"/>
    <row r="642" customFormat="1" x14ac:dyDescent="0.2"/>
    <row r="643" customFormat="1" x14ac:dyDescent="0.2"/>
    <row r="644" customFormat="1" x14ac:dyDescent="0.2"/>
    <row r="645" customFormat="1" x14ac:dyDescent="0.2"/>
    <row r="646" customFormat="1" x14ac:dyDescent="0.2"/>
    <row r="647" customFormat="1" x14ac:dyDescent="0.2"/>
    <row r="648" customFormat="1" x14ac:dyDescent="0.2"/>
    <row r="649" customFormat="1" x14ac:dyDescent="0.2"/>
    <row r="650" customFormat="1" x14ac:dyDescent="0.2"/>
    <row r="651" customFormat="1" x14ac:dyDescent="0.2"/>
    <row r="652" customFormat="1" x14ac:dyDescent="0.2"/>
    <row r="653" customFormat="1" x14ac:dyDescent="0.2"/>
    <row r="654" customFormat="1" x14ac:dyDescent="0.2"/>
    <row r="655" customFormat="1" x14ac:dyDescent="0.2"/>
    <row r="656" customFormat="1" x14ac:dyDescent="0.2"/>
    <row r="657" customFormat="1" x14ac:dyDescent="0.2"/>
    <row r="658" customFormat="1" x14ac:dyDescent="0.2"/>
    <row r="659" customFormat="1" x14ac:dyDescent="0.2"/>
    <row r="660" customFormat="1" x14ac:dyDescent="0.2"/>
    <row r="661" customFormat="1" x14ac:dyDescent="0.2"/>
    <row r="662" customFormat="1" x14ac:dyDescent="0.2"/>
    <row r="663" customFormat="1" x14ac:dyDescent="0.2"/>
    <row r="664" customFormat="1" x14ac:dyDescent="0.2"/>
    <row r="665" customFormat="1" x14ac:dyDescent="0.2"/>
    <row r="666" customFormat="1" x14ac:dyDescent="0.2"/>
    <row r="667" customFormat="1" x14ac:dyDescent="0.2"/>
    <row r="668" customFormat="1" x14ac:dyDescent="0.2"/>
    <row r="669" customFormat="1" x14ac:dyDescent="0.2"/>
    <row r="670" customFormat="1" x14ac:dyDescent="0.2"/>
    <row r="671" customFormat="1" x14ac:dyDescent="0.2"/>
    <row r="672" customFormat="1" x14ac:dyDescent="0.2"/>
    <row r="673" customFormat="1" x14ac:dyDescent="0.2"/>
    <row r="674" customFormat="1" x14ac:dyDescent="0.2"/>
    <row r="675" customFormat="1" x14ac:dyDescent="0.2"/>
    <row r="676" customFormat="1" x14ac:dyDescent="0.2"/>
    <row r="677" customFormat="1" x14ac:dyDescent="0.2"/>
    <row r="678" customFormat="1" x14ac:dyDescent="0.2"/>
    <row r="679" customFormat="1" x14ac:dyDescent="0.2"/>
    <row r="680" customFormat="1" x14ac:dyDescent="0.2"/>
    <row r="681" customFormat="1" x14ac:dyDescent="0.2"/>
    <row r="682" customFormat="1" x14ac:dyDescent="0.2"/>
    <row r="683" customFormat="1" x14ac:dyDescent="0.2"/>
    <row r="684" customFormat="1" x14ac:dyDescent="0.2"/>
    <row r="685" customFormat="1" x14ac:dyDescent="0.2"/>
    <row r="686" customFormat="1" x14ac:dyDescent="0.2"/>
    <row r="687" customFormat="1" x14ac:dyDescent="0.2"/>
    <row r="688" customFormat="1" x14ac:dyDescent="0.2"/>
    <row r="689" customFormat="1" x14ac:dyDescent="0.2"/>
    <row r="690" customFormat="1" x14ac:dyDescent="0.2"/>
    <row r="691" customFormat="1" x14ac:dyDescent="0.2"/>
    <row r="692" customFormat="1" x14ac:dyDescent="0.2"/>
    <row r="693" customFormat="1" x14ac:dyDescent="0.2"/>
    <row r="694" customFormat="1" x14ac:dyDescent="0.2"/>
    <row r="695" customFormat="1" x14ac:dyDescent="0.2"/>
    <row r="696" customFormat="1" x14ac:dyDescent="0.2"/>
    <row r="697" customFormat="1" x14ac:dyDescent="0.2"/>
    <row r="698" customFormat="1" x14ac:dyDescent="0.2"/>
    <row r="699" customFormat="1" x14ac:dyDescent="0.2"/>
    <row r="700" customFormat="1" x14ac:dyDescent="0.2"/>
    <row r="701" customFormat="1" x14ac:dyDescent="0.2"/>
    <row r="702" customFormat="1" x14ac:dyDescent="0.2"/>
    <row r="703" customFormat="1" x14ac:dyDescent="0.2"/>
    <row r="704" customFormat="1" x14ac:dyDescent="0.2"/>
    <row r="705" customFormat="1" x14ac:dyDescent="0.2"/>
    <row r="706" customFormat="1" x14ac:dyDescent="0.2"/>
    <row r="707" customFormat="1" x14ac:dyDescent="0.2"/>
    <row r="708" customFormat="1" x14ac:dyDescent="0.2"/>
    <row r="709" customFormat="1" x14ac:dyDescent="0.2"/>
    <row r="710" customFormat="1" x14ac:dyDescent="0.2"/>
    <row r="711" customFormat="1" x14ac:dyDescent="0.2"/>
    <row r="712" customFormat="1" x14ac:dyDescent="0.2"/>
    <row r="713" customFormat="1" x14ac:dyDescent="0.2"/>
    <row r="714" customFormat="1" x14ac:dyDescent="0.2"/>
    <row r="715" customFormat="1" x14ac:dyDescent="0.2"/>
    <row r="716" customFormat="1" x14ac:dyDescent="0.2"/>
    <row r="717" customFormat="1" x14ac:dyDescent="0.2"/>
    <row r="718" customFormat="1" x14ac:dyDescent="0.2"/>
    <row r="719" customFormat="1" x14ac:dyDescent="0.2"/>
    <row r="720" customFormat="1" x14ac:dyDescent="0.2"/>
    <row r="721" customFormat="1" x14ac:dyDescent="0.2"/>
    <row r="722" customFormat="1" x14ac:dyDescent="0.2"/>
    <row r="723" customFormat="1" x14ac:dyDescent="0.2"/>
    <row r="724" customFormat="1" x14ac:dyDescent="0.2"/>
    <row r="725" customFormat="1" x14ac:dyDescent="0.2"/>
    <row r="726" customFormat="1" x14ac:dyDescent="0.2"/>
    <row r="727" customFormat="1" x14ac:dyDescent="0.2"/>
    <row r="728" customFormat="1" x14ac:dyDescent="0.2"/>
    <row r="729" customFormat="1" x14ac:dyDescent="0.2"/>
    <row r="730" customFormat="1" x14ac:dyDescent="0.2"/>
    <row r="731" customFormat="1" x14ac:dyDescent="0.2"/>
    <row r="732" customFormat="1" x14ac:dyDescent="0.2"/>
    <row r="733" customFormat="1" x14ac:dyDescent="0.2"/>
    <row r="734" customFormat="1" x14ac:dyDescent="0.2"/>
    <row r="735" customFormat="1" x14ac:dyDescent="0.2"/>
    <row r="736" customFormat="1" x14ac:dyDescent="0.2"/>
    <row r="737" customFormat="1" x14ac:dyDescent="0.2"/>
    <row r="738" customFormat="1" x14ac:dyDescent="0.2"/>
    <row r="739" customFormat="1" x14ac:dyDescent="0.2"/>
    <row r="740" customFormat="1" x14ac:dyDescent="0.2"/>
    <row r="741" customFormat="1" x14ac:dyDescent="0.2"/>
    <row r="742" customFormat="1" x14ac:dyDescent="0.2"/>
    <row r="743" customFormat="1" x14ac:dyDescent="0.2"/>
    <row r="744" customFormat="1" x14ac:dyDescent="0.2"/>
    <row r="745" customFormat="1" x14ac:dyDescent="0.2"/>
    <row r="746" customFormat="1" x14ac:dyDescent="0.2"/>
    <row r="747" customFormat="1" x14ac:dyDescent="0.2"/>
    <row r="748" customFormat="1" x14ac:dyDescent="0.2"/>
    <row r="749" customFormat="1" x14ac:dyDescent="0.2"/>
    <row r="750" customFormat="1" x14ac:dyDescent="0.2"/>
    <row r="751" customFormat="1" x14ac:dyDescent="0.2"/>
    <row r="752" customFormat="1" x14ac:dyDescent="0.2"/>
    <row r="753" customFormat="1" x14ac:dyDescent="0.2"/>
    <row r="754" customFormat="1" x14ac:dyDescent="0.2"/>
    <row r="755" customFormat="1" x14ac:dyDescent="0.2"/>
    <row r="756" customFormat="1" x14ac:dyDescent="0.2"/>
    <row r="757" customFormat="1" x14ac:dyDescent="0.2"/>
    <row r="758" customFormat="1" x14ac:dyDescent="0.2"/>
    <row r="759" customFormat="1" x14ac:dyDescent="0.2"/>
    <row r="760" customFormat="1" x14ac:dyDescent="0.2"/>
    <row r="761" customFormat="1" x14ac:dyDescent="0.2"/>
    <row r="762" customFormat="1" x14ac:dyDescent="0.2"/>
    <row r="763" customFormat="1" x14ac:dyDescent="0.2"/>
    <row r="764" customFormat="1" x14ac:dyDescent="0.2"/>
    <row r="765" customFormat="1" x14ac:dyDescent="0.2"/>
    <row r="766" customFormat="1" x14ac:dyDescent="0.2"/>
    <row r="767" customFormat="1" x14ac:dyDescent="0.2"/>
    <row r="768" customFormat="1" x14ac:dyDescent="0.2"/>
    <row r="769" customFormat="1" x14ac:dyDescent="0.2"/>
    <row r="770" customFormat="1" x14ac:dyDescent="0.2"/>
    <row r="771" customFormat="1" x14ac:dyDescent="0.2"/>
    <row r="772" customFormat="1" x14ac:dyDescent="0.2"/>
    <row r="773" customFormat="1" x14ac:dyDescent="0.2"/>
    <row r="774" customFormat="1" x14ac:dyDescent="0.2"/>
    <row r="775" customFormat="1" x14ac:dyDescent="0.2"/>
    <row r="776" customFormat="1" x14ac:dyDescent="0.2"/>
    <row r="777" customFormat="1" x14ac:dyDescent="0.2"/>
    <row r="778" customFormat="1" x14ac:dyDescent="0.2"/>
    <row r="779" customFormat="1" x14ac:dyDescent="0.2"/>
    <row r="780" customFormat="1" x14ac:dyDescent="0.2"/>
    <row r="781" customFormat="1" x14ac:dyDescent="0.2"/>
    <row r="782" customFormat="1" x14ac:dyDescent="0.2"/>
    <row r="783" customFormat="1" x14ac:dyDescent="0.2"/>
    <row r="784" customFormat="1" x14ac:dyDescent="0.2"/>
    <row r="785" customFormat="1" x14ac:dyDescent="0.2"/>
    <row r="786" customFormat="1" x14ac:dyDescent="0.2"/>
    <row r="787" customFormat="1" x14ac:dyDescent="0.2"/>
    <row r="788" customFormat="1" x14ac:dyDescent="0.2"/>
    <row r="789" customFormat="1" x14ac:dyDescent="0.2"/>
    <row r="790" customFormat="1" x14ac:dyDescent="0.2"/>
    <row r="791" customFormat="1" x14ac:dyDescent="0.2"/>
    <row r="792" customFormat="1" x14ac:dyDescent="0.2"/>
    <row r="793" customFormat="1" x14ac:dyDescent="0.2"/>
    <row r="794" customFormat="1" x14ac:dyDescent="0.2"/>
    <row r="795" customFormat="1" x14ac:dyDescent="0.2"/>
    <row r="796" customFormat="1" x14ac:dyDescent="0.2"/>
    <row r="797" customFormat="1" x14ac:dyDescent="0.2"/>
    <row r="798" customFormat="1" x14ac:dyDescent="0.2"/>
    <row r="799" customFormat="1" x14ac:dyDescent="0.2"/>
    <row r="800" customFormat="1" x14ac:dyDescent="0.2"/>
    <row r="801" customFormat="1" x14ac:dyDescent="0.2"/>
    <row r="802" customFormat="1" x14ac:dyDescent="0.2"/>
    <row r="803" customFormat="1" x14ac:dyDescent="0.2"/>
    <row r="804" customFormat="1" x14ac:dyDescent="0.2"/>
    <row r="805" customFormat="1" x14ac:dyDescent="0.2"/>
    <row r="806" customFormat="1" x14ac:dyDescent="0.2"/>
    <row r="807" customFormat="1" x14ac:dyDescent="0.2"/>
    <row r="808" customFormat="1" x14ac:dyDescent="0.2"/>
    <row r="809" customFormat="1" x14ac:dyDescent="0.2"/>
    <row r="810" customFormat="1" x14ac:dyDescent="0.2"/>
    <row r="811" customFormat="1" x14ac:dyDescent="0.2"/>
    <row r="812" customFormat="1" x14ac:dyDescent="0.2"/>
    <row r="813" customFormat="1" x14ac:dyDescent="0.2"/>
    <row r="814" customFormat="1" x14ac:dyDescent="0.2"/>
    <row r="815" customFormat="1" x14ac:dyDescent="0.2"/>
    <row r="816" customFormat="1" x14ac:dyDescent="0.2"/>
    <row r="817" customFormat="1" x14ac:dyDescent="0.2"/>
    <row r="818" customFormat="1" x14ac:dyDescent="0.2"/>
    <row r="819" customFormat="1" x14ac:dyDescent="0.2"/>
    <row r="820" customFormat="1" x14ac:dyDescent="0.2"/>
    <row r="821" customFormat="1" x14ac:dyDescent="0.2"/>
    <row r="822" customFormat="1" x14ac:dyDescent="0.2"/>
    <row r="823" customFormat="1" x14ac:dyDescent="0.2"/>
    <row r="824" customFormat="1" x14ac:dyDescent="0.2"/>
    <row r="825" customFormat="1" x14ac:dyDescent="0.2"/>
    <row r="826" customFormat="1" x14ac:dyDescent="0.2"/>
    <row r="827" customFormat="1" x14ac:dyDescent="0.2"/>
    <row r="828" customFormat="1" x14ac:dyDescent="0.2"/>
    <row r="829" customFormat="1" x14ac:dyDescent="0.2"/>
    <row r="830" customFormat="1" x14ac:dyDescent="0.2"/>
    <row r="831" customFormat="1" x14ac:dyDescent="0.2"/>
    <row r="832" customFormat="1" x14ac:dyDescent="0.2"/>
    <row r="833" customFormat="1" x14ac:dyDescent="0.2"/>
    <row r="834" customFormat="1" x14ac:dyDescent="0.2"/>
    <row r="835" customFormat="1" x14ac:dyDescent="0.2"/>
    <row r="836" customFormat="1" x14ac:dyDescent="0.2"/>
    <row r="837" customFormat="1" x14ac:dyDescent="0.2"/>
    <row r="838" customFormat="1" x14ac:dyDescent="0.2"/>
    <row r="839" customFormat="1" x14ac:dyDescent="0.2"/>
    <row r="840" customFormat="1" x14ac:dyDescent="0.2"/>
    <row r="841" customFormat="1" x14ac:dyDescent="0.2"/>
    <row r="842" customFormat="1" x14ac:dyDescent="0.2"/>
    <row r="843" customFormat="1" x14ac:dyDescent="0.2"/>
    <row r="844" customFormat="1" x14ac:dyDescent="0.2"/>
    <row r="845" customFormat="1" x14ac:dyDescent="0.2"/>
    <row r="846" customFormat="1" x14ac:dyDescent="0.2"/>
    <row r="847" customFormat="1" x14ac:dyDescent="0.2"/>
    <row r="848" customFormat="1" x14ac:dyDescent="0.2"/>
    <row r="849" customFormat="1" x14ac:dyDescent="0.2"/>
    <row r="850" customFormat="1" x14ac:dyDescent="0.2"/>
    <row r="851" customFormat="1" x14ac:dyDescent="0.2"/>
    <row r="852" customFormat="1" x14ac:dyDescent="0.2"/>
    <row r="853" customFormat="1" x14ac:dyDescent="0.2"/>
    <row r="854" customFormat="1" x14ac:dyDescent="0.2"/>
    <row r="855" customFormat="1" x14ac:dyDescent="0.2"/>
    <row r="856" customFormat="1" x14ac:dyDescent="0.2"/>
    <row r="857" customFormat="1" x14ac:dyDescent="0.2"/>
    <row r="858" customFormat="1" x14ac:dyDescent="0.2"/>
    <row r="859" customFormat="1" x14ac:dyDescent="0.2"/>
    <row r="860" customFormat="1" x14ac:dyDescent="0.2"/>
    <row r="861" customFormat="1" x14ac:dyDescent="0.2"/>
    <row r="862" customFormat="1" x14ac:dyDescent="0.2"/>
    <row r="863" customFormat="1" x14ac:dyDescent="0.2"/>
    <row r="864" customFormat="1" x14ac:dyDescent="0.2"/>
    <row r="865" customFormat="1" x14ac:dyDescent="0.2"/>
    <row r="866" customFormat="1" x14ac:dyDescent="0.2"/>
    <row r="867" customFormat="1" x14ac:dyDescent="0.2"/>
    <row r="868" customFormat="1" x14ac:dyDescent="0.2"/>
    <row r="869" customFormat="1" x14ac:dyDescent="0.2"/>
    <row r="870" customFormat="1" x14ac:dyDescent="0.2"/>
    <row r="871" customFormat="1" x14ac:dyDescent="0.2"/>
    <row r="872" customFormat="1" x14ac:dyDescent="0.2"/>
    <row r="873" customFormat="1" x14ac:dyDescent="0.2"/>
    <row r="874" customFormat="1" x14ac:dyDescent="0.2"/>
    <row r="875" customFormat="1" x14ac:dyDescent="0.2"/>
    <row r="876" customFormat="1" x14ac:dyDescent="0.2"/>
    <row r="877" customFormat="1" x14ac:dyDescent="0.2"/>
    <row r="878" customFormat="1" x14ac:dyDescent="0.2"/>
    <row r="879" customFormat="1" x14ac:dyDescent="0.2"/>
    <row r="880" customFormat="1" x14ac:dyDescent="0.2"/>
    <row r="881" customFormat="1" x14ac:dyDescent="0.2"/>
    <row r="882" customFormat="1" x14ac:dyDescent="0.2"/>
    <row r="883" customFormat="1" x14ac:dyDescent="0.2"/>
    <row r="884" customFormat="1" x14ac:dyDescent="0.2"/>
    <row r="885" customFormat="1" x14ac:dyDescent="0.2"/>
    <row r="886" customFormat="1" x14ac:dyDescent="0.2"/>
    <row r="887" customFormat="1" x14ac:dyDescent="0.2"/>
    <row r="888" customFormat="1" x14ac:dyDescent="0.2"/>
    <row r="889" customFormat="1" x14ac:dyDescent="0.2"/>
    <row r="890" customFormat="1" x14ac:dyDescent="0.2"/>
    <row r="891" customFormat="1" x14ac:dyDescent="0.2"/>
    <row r="892" customFormat="1" x14ac:dyDescent="0.2"/>
    <row r="893" customFormat="1" x14ac:dyDescent="0.2"/>
    <row r="894" customFormat="1" x14ac:dyDescent="0.2"/>
    <row r="895" customFormat="1" x14ac:dyDescent="0.2"/>
    <row r="896" customFormat="1" x14ac:dyDescent="0.2"/>
    <row r="897" customFormat="1" x14ac:dyDescent="0.2"/>
    <row r="898" customFormat="1" x14ac:dyDescent="0.2"/>
    <row r="899" customFormat="1" x14ac:dyDescent="0.2"/>
    <row r="900" customFormat="1" x14ac:dyDescent="0.2"/>
    <row r="901" customFormat="1" x14ac:dyDescent="0.2"/>
    <row r="902" customFormat="1" x14ac:dyDescent="0.2"/>
    <row r="903" customFormat="1" x14ac:dyDescent="0.2"/>
    <row r="904" customFormat="1" x14ac:dyDescent="0.2"/>
    <row r="905" customFormat="1" x14ac:dyDescent="0.2"/>
    <row r="906" customFormat="1" x14ac:dyDescent="0.2"/>
    <row r="907" customFormat="1" x14ac:dyDescent="0.2"/>
    <row r="908" customFormat="1" x14ac:dyDescent="0.2"/>
    <row r="909" customFormat="1" x14ac:dyDescent="0.2"/>
    <row r="910" customFormat="1" x14ac:dyDescent="0.2"/>
    <row r="911" customFormat="1" x14ac:dyDescent="0.2"/>
    <row r="912" customFormat="1" x14ac:dyDescent="0.2"/>
    <row r="913" customFormat="1" x14ac:dyDescent="0.2"/>
    <row r="914" customFormat="1" x14ac:dyDescent="0.2"/>
    <row r="915" customFormat="1" x14ac:dyDescent="0.2"/>
    <row r="916" customFormat="1" x14ac:dyDescent="0.2"/>
    <row r="917" customFormat="1" x14ac:dyDescent="0.2"/>
    <row r="918" customFormat="1" x14ac:dyDescent="0.2"/>
    <row r="919" customFormat="1" x14ac:dyDescent="0.2"/>
    <row r="920" customFormat="1" x14ac:dyDescent="0.2"/>
    <row r="921" customFormat="1" x14ac:dyDescent="0.2"/>
    <row r="922" customFormat="1" x14ac:dyDescent="0.2"/>
    <row r="923" customFormat="1" x14ac:dyDescent="0.2"/>
    <row r="924" customFormat="1" x14ac:dyDescent="0.2"/>
    <row r="925" customFormat="1" x14ac:dyDescent="0.2"/>
    <row r="926" customFormat="1" x14ac:dyDescent="0.2"/>
    <row r="927" customFormat="1" x14ac:dyDescent="0.2"/>
    <row r="928" customFormat="1" x14ac:dyDescent="0.2"/>
    <row r="929" customFormat="1" x14ac:dyDescent="0.2"/>
    <row r="930" customFormat="1" x14ac:dyDescent="0.2"/>
    <row r="931" customFormat="1" x14ac:dyDescent="0.2"/>
    <row r="932" customFormat="1" x14ac:dyDescent="0.2"/>
    <row r="933" customFormat="1" x14ac:dyDescent="0.2"/>
    <row r="934" customFormat="1" x14ac:dyDescent="0.2"/>
    <row r="935" customFormat="1" x14ac:dyDescent="0.2"/>
    <row r="936" customFormat="1" x14ac:dyDescent="0.2"/>
    <row r="937" customFormat="1" x14ac:dyDescent="0.2"/>
    <row r="938" customFormat="1" x14ac:dyDescent="0.2"/>
    <row r="939" customFormat="1" x14ac:dyDescent="0.2"/>
    <row r="940" customFormat="1" x14ac:dyDescent="0.2"/>
    <row r="941" customFormat="1" x14ac:dyDescent="0.2"/>
    <row r="942" customFormat="1" x14ac:dyDescent="0.2"/>
    <row r="943" customFormat="1" x14ac:dyDescent="0.2"/>
    <row r="944" customFormat="1" x14ac:dyDescent="0.2"/>
    <row r="945" customFormat="1" x14ac:dyDescent="0.2"/>
    <row r="946" customFormat="1" x14ac:dyDescent="0.2"/>
    <row r="947" customFormat="1" x14ac:dyDescent="0.2"/>
    <row r="948" customFormat="1" x14ac:dyDescent="0.2"/>
    <row r="949" customFormat="1" x14ac:dyDescent="0.2"/>
    <row r="950" customFormat="1" x14ac:dyDescent="0.2"/>
    <row r="951" customFormat="1" x14ac:dyDescent="0.2"/>
    <row r="952" customFormat="1" x14ac:dyDescent="0.2"/>
    <row r="953" customFormat="1" x14ac:dyDescent="0.2"/>
    <row r="954" customFormat="1" x14ac:dyDescent="0.2"/>
    <row r="955" customFormat="1" x14ac:dyDescent="0.2"/>
    <row r="956" customFormat="1" x14ac:dyDescent="0.2"/>
    <row r="957" customFormat="1" x14ac:dyDescent="0.2"/>
    <row r="958" customFormat="1" x14ac:dyDescent="0.2"/>
    <row r="959" customFormat="1" x14ac:dyDescent="0.2"/>
    <row r="960" customFormat="1" x14ac:dyDescent="0.2"/>
    <row r="961" customFormat="1" x14ac:dyDescent="0.2"/>
    <row r="962" customFormat="1" x14ac:dyDescent="0.2"/>
    <row r="963" customFormat="1" x14ac:dyDescent="0.2"/>
    <row r="964" customFormat="1" x14ac:dyDescent="0.2"/>
    <row r="965" customFormat="1" x14ac:dyDescent="0.2"/>
    <row r="966" customFormat="1" x14ac:dyDescent="0.2"/>
    <row r="967" customFormat="1" x14ac:dyDescent="0.2"/>
    <row r="968" customFormat="1" x14ac:dyDescent="0.2"/>
    <row r="969" customFormat="1" x14ac:dyDescent="0.2"/>
    <row r="970" customFormat="1" x14ac:dyDescent="0.2"/>
    <row r="971" customFormat="1" x14ac:dyDescent="0.2"/>
    <row r="972" customFormat="1" x14ac:dyDescent="0.2"/>
    <row r="973" customFormat="1" x14ac:dyDescent="0.2"/>
    <row r="974" customFormat="1" x14ac:dyDescent="0.2"/>
    <row r="975" customFormat="1" x14ac:dyDescent="0.2"/>
    <row r="976" customFormat="1" x14ac:dyDescent="0.2"/>
    <row r="977" customFormat="1" x14ac:dyDescent="0.2"/>
    <row r="978" customFormat="1" x14ac:dyDescent="0.2"/>
    <row r="979" customFormat="1" x14ac:dyDescent="0.2"/>
    <row r="980" customFormat="1" x14ac:dyDescent="0.2"/>
    <row r="981" customFormat="1" x14ac:dyDescent="0.2"/>
    <row r="982" customFormat="1" x14ac:dyDescent="0.2"/>
    <row r="983" customFormat="1" x14ac:dyDescent="0.2"/>
    <row r="984" customFormat="1" x14ac:dyDescent="0.2"/>
    <row r="985" customFormat="1" x14ac:dyDescent="0.2"/>
    <row r="986" customFormat="1" x14ac:dyDescent="0.2"/>
    <row r="987" customFormat="1" x14ac:dyDescent="0.2"/>
    <row r="988" customFormat="1" x14ac:dyDescent="0.2"/>
    <row r="989" customFormat="1" x14ac:dyDescent="0.2"/>
    <row r="990" customFormat="1" x14ac:dyDescent="0.2"/>
    <row r="991" customFormat="1" x14ac:dyDescent="0.2"/>
    <row r="992" customFormat="1" x14ac:dyDescent="0.2"/>
    <row r="993" customFormat="1" x14ac:dyDescent="0.2"/>
    <row r="994" customFormat="1" x14ac:dyDescent="0.2"/>
    <row r="995" customFormat="1" x14ac:dyDescent="0.2"/>
    <row r="996" customFormat="1" x14ac:dyDescent="0.2"/>
    <row r="997" customFormat="1" x14ac:dyDescent="0.2"/>
    <row r="998" customFormat="1" x14ac:dyDescent="0.2"/>
    <row r="999" customFormat="1" x14ac:dyDescent="0.2"/>
    <row r="1000" customFormat="1" x14ac:dyDescent="0.2"/>
    <row r="1001" customFormat="1" x14ac:dyDescent="0.2"/>
    <row r="1002" customFormat="1" x14ac:dyDescent="0.2"/>
    <row r="1003" customFormat="1" x14ac:dyDescent="0.2"/>
    <row r="1004" customFormat="1" x14ac:dyDescent="0.2"/>
    <row r="1005" customFormat="1" x14ac:dyDescent="0.2"/>
    <row r="1006" customFormat="1" x14ac:dyDescent="0.2"/>
    <row r="1007" customFormat="1" x14ac:dyDescent="0.2"/>
    <row r="1008" customFormat="1" x14ac:dyDescent="0.2"/>
    <row r="1009" customFormat="1" x14ac:dyDescent="0.2"/>
    <row r="1010" customFormat="1" x14ac:dyDescent="0.2"/>
    <row r="1011" customFormat="1" x14ac:dyDescent="0.2"/>
    <row r="1012" customFormat="1" x14ac:dyDescent="0.2"/>
    <row r="1013" customFormat="1" x14ac:dyDescent="0.2"/>
    <row r="1014" customFormat="1" x14ac:dyDescent="0.2"/>
    <row r="1015" customFormat="1" x14ac:dyDescent="0.2"/>
    <row r="1016" customFormat="1" x14ac:dyDescent="0.2"/>
    <row r="1017" customFormat="1" x14ac:dyDescent="0.2"/>
    <row r="1018" customFormat="1" x14ac:dyDescent="0.2"/>
  </sheetData>
  <mergeCells count="62">
    <mergeCell ref="A71:B71"/>
    <mergeCell ref="O1:Q1"/>
    <mergeCell ref="A66:B66"/>
    <mergeCell ref="A67:B67"/>
    <mergeCell ref="A68:B68"/>
    <mergeCell ref="A69:B69"/>
    <mergeCell ref="A70:B70"/>
    <mergeCell ref="A61:B61"/>
    <mergeCell ref="A62:B62"/>
    <mergeCell ref="A63:B63"/>
    <mergeCell ref="A64:B64"/>
    <mergeCell ref="A65:B6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5:B55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30:B30"/>
    <mergeCell ref="A31:B31"/>
    <mergeCell ref="A32:B32"/>
    <mergeCell ref="A35:B35"/>
    <mergeCell ref="A36:B36"/>
    <mergeCell ref="A25:B25"/>
    <mergeCell ref="A26:B26"/>
    <mergeCell ref="A27:B27"/>
    <mergeCell ref="A28:B28"/>
    <mergeCell ref="A29:B29"/>
    <mergeCell ref="A18:B18"/>
    <mergeCell ref="A19:B19"/>
    <mergeCell ref="A22:B22"/>
    <mergeCell ref="A23:B23"/>
    <mergeCell ref="A24:B24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1:M1"/>
    <mergeCell ref="A2:M2"/>
    <mergeCell ref="A4:B4"/>
    <mergeCell ref="A6:B6"/>
    <mergeCell ref="A7:B7"/>
  </mergeCells>
  <conditionalFormatting sqref="A52:M52">
    <cfRule type="expression" dxfId="1" priority="1">
      <formula>ABS(D52)&gt;1</formula>
    </cfRule>
  </conditionalFormatting>
  <conditionalFormatting sqref="A71:M71">
    <cfRule type="expression" dxfId="0" priority="2">
      <formula>ABS(D71)&gt;1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F6DA3-9ED3-3E44-85C3-66CF84E84F57}">
  <dimension ref="B2:P81"/>
  <sheetViews>
    <sheetView showGridLines="0" tabSelected="1" workbookViewId="0">
      <selection activeCell="J15" sqref="J15"/>
    </sheetView>
  </sheetViews>
  <sheetFormatPr baseColWidth="10" defaultRowHeight="16" x14ac:dyDescent="0.2"/>
  <cols>
    <col min="2" max="2" width="26.6640625" bestFit="1" customWidth="1"/>
    <col min="3" max="3" width="14.6640625" bestFit="1" customWidth="1"/>
    <col min="5" max="6" width="12.6640625" bestFit="1" customWidth="1"/>
    <col min="7" max="7" width="13.33203125" bestFit="1" customWidth="1"/>
    <col min="8" max="8" width="13.5" bestFit="1" customWidth="1"/>
    <col min="9" max="12" width="12.6640625" bestFit="1" customWidth="1"/>
    <col min="13" max="13" width="13" bestFit="1" customWidth="1"/>
  </cols>
  <sheetData>
    <row r="2" spans="2:13" x14ac:dyDescent="0.2">
      <c r="B2" s="75" t="s">
        <v>189</v>
      </c>
      <c r="E2" s="80"/>
      <c r="F2" s="81">
        <f>F8/E8-1</f>
        <v>3.5272276759203525E-2</v>
      </c>
      <c r="G2" s="81">
        <f>G8/F8-1</f>
        <v>-1.4982784461062493E-2</v>
      </c>
      <c r="H2" s="81">
        <f>H8/G8-1</f>
        <v>-6.0000000000000053E-3</v>
      </c>
      <c r="I2" s="81">
        <v>0.06</v>
      </c>
      <c r="J2" s="81">
        <v>0.06</v>
      </c>
      <c r="K2" s="81">
        <v>0.06</v>
      </c>
      <c r="L2" s="82">
        <v>7.0000000000000007E-2</v>
      </c>
      <c r="M2" s="98">
        <v>0.08</v>
      </c>
    </row>
    <row r="3" spans="2:13" x14ac:dyDescent="0.2">
      <c r="B3" s="75" t="s">
        <v>190</v>
      </c>
      <c r="C3" s="73" t="s">
        <v>229</v>
      </c>
      <c r="E3" s="83">
        <f>-E9/E8</f>
        <v>0.44224723377331665</v>
      </c>
      <c r="F3" s="84">
        <f>-F9/F8</f>
        <v>0.41243428988217767</v>
      </c>
      <c r="G3" s="84">
        <f>-G9/G8</f>
        <v>0.41666396495412739</v>
      </c>
      <c r="H3" s="84">
        <f>-H9/H8</f>
        <v>0.41999999999999993</v>
      </c>
      <c r="I3" s="84">
        <f>-I9/I8</f>
        <v>0.42</v>
      </c>
      <c r="J3" s="84">
        <f>-J9/J8</f>
        <v>0.43</v>
      </c>
      <c r="K3" s="84">
        <f>-K9/K8</f>
        <v>0.44</v>
      </c>
      <c r="L3" s="85">
        <f>-L9/L8</f>
        <v>0.45</v>
      </c>
      <c r="M3" s="99">
        <v>0.4</v>
      </c>
    </row>
    <row r="4" spans="2:13" x14ac:dyDescent="0.2">
      <c r="B4" s="75" t="s">
        <v>191</v>
      </c>
      <c r="C4" s="73" t="s">
        <v>229</v>
      </c>
      <c r="E4" s="86">
        <f>E12/E8</f>
        <v>0.29375014353866535</v>
      </c>
      <c r="F4" s="87">
        <f>F12/F8</f>
        <v>0.33257656794994184</v>
      </c>
      <c r="G4" s="87">
        <f>G12/G8</f>
        <v>0.36366081966576147</v>
      </c>
      <c r="H4" s="87">
        <f>H12/H8</f>
        <v>0.32</v>
      </c>
      <c r="I4" s="87">
        <f>I12/I8</f>
        <v>0.33</v>
      </c>
      <c r="J4" s="87">
        <f>J12/J8</f>
        <v>0.36</v>
      </c>
      <c r="K4" s="87">
        <f>K12/K8</f>
        <v>0.36</v>
      </c>
      <c r="L4" s="88">
        <f>L12/L8</f>
        <v>0.35</v>
      </c>
      <c r="M4" s="100">
        <v>0.3</v>
      </c>
    </row>
    <row r="5" spans="2:13" x14ac:dyDescent="0.2">
      <c r="B5" s="75"/>
      <c r="E5" s="84"/>
      <c r="F5" s="84"/>
      <c r="G5" s="84"/>
      <c r="H5" s="84"/>
      <c r="I5" s="84"/>
      <c r="J5" s="84"/>
      <c r="K5" s="84"/>
      <c r="L5" s="84"/>
      <c r="M5" s="84"/>
    </row>
    <row r="6" spans="2:13" x14ac:dyDescent="0.2">
      <c r="B6" s="75" t="s">
        <v>144</v>
      </c>
      <c r="E6" s="84"/>
      <c r="F6" s="84">
        <f>F15/E15-1</f>
        <v>0.28609310548025935</v>
      </c>
      <c r="G6" s="84">
        <f t="shared" ref="G6:L6" si="0">G15/F15-1</f>
        <v>0.13519473081328748</v>
      </c>
      <c r="H6" s="84">
        <f t="shared" si="0"/>
        <v>1.1972591508791401</v>
      </c>
      <c r="I6" s="84">
        <f t="shared" si="0"/>
        <v>-0.79667233246710301</v>
      </c>
      <c r="J6" s="84">
        <f t="shared" si="0"/>
        <v>-0.79727232765608202</v>
      </c>
      <c r="K6" s="84">
        <f t="shared" si="0"/>
        <v>0.53557580991318798</v>
      </c>
      <c r="L6" s="84">
        <f t="shared" si="0"/>
        <v>2.9648696515755595</v>
      </c>
      <c r="M6" s="84">
        <v>4.9000000000000002E-2</v>
      </c>
    </row>
    <row r="7" spans="2:13" x14ac:dyDescent="0.2">
      <c r="B7" s="75"/>
      <c r="E7" s="72"/>
      <c r="F7" s="72"/>
      <c r="G7" s="72"/>
      <c r="H7" s="72"/>
      <c r="I7" s="72"/>
      <c r="J7" s="72"/>
      <c r="K7" s="72"/>
      <c r="L7" s="72"/>
      <c r="M7" s="72"/>
    </row>
    <row r="8" spans="2:13" x14ac:dyDescent="0.2">
      <c r="B8" s="75" t="s">
        <v>143</v>
      </c>
      <c r="E8" s="89">
        <f>'Simplified Model'!F7</f>
        <v>3962347</v>
      </c>
      <c r="F8" s="89">
        <f>'Simplified Model'!G7</f>
        <v>4102108</v>
      </c>
      <c r="G8" s="89">
        <f>'Simplified Model'!H7</f>
        <v>4040647</v>
      </c>
      <c r="H8" s="89">
        <f>'Simplified Model'!I7</f>
        <v>4016403.1179999998</v>
      </c>
      <c r="I8" s="89">
        <f>'Simplified Model'!J7</f>
        <v>4056567.1491799997</v>
      </c>
      <c r="J8" s="89">
        <f>'Simplified Model'!K7</f>
        <v>4137698.4921635999</v>
      </c>
      <c r="K8" s="89">
        <f>'Simplified Model'!L7</f>
        <v>4220452.4620068716</v>
      </c>
      <c r="L8" s="89">
        <f>'Simplified Model'!M7</f>
        <v>4347066.0358670782</v>
      </c>
      <c r="M8" s="101">
        <f>L8*(1+M2)</f>
        <v>4694831.3187364452</v>
      </c>
    </row>
    <row r="9" spans="2:13" x14ac:dyDescent="0.2">
      <c r="B9" s="75" t="s">
        <v>190</v>
      </c>
      <c r="E9" s="91">
        <f>-'Simplified Model'!F8</f>
        <v>-1752337</v>
      </c>
      <c r="F9" s="91">
        <f>-'Simplified Model'!G8</f>
        <v>-1691850</v>
      </c>
      <c r="G9" s="91">
        <f>-'Simplified Model'!H8</f>
        <v>-1683592</v>
      </c>
      <c r="H9" s="91">
        <f>-'Simplified Model'!I8</f>
        <v>-1686889.3095599997</v>
      </c>
      <c r="I9" s="91">
        <f>-'Simplified Model'!J8</f>
        <v>-1703758.2026555999</v>
      </c>
      <c r="J9" s="91">
        <f>-'Simplified Model'!K8</f>
        <v>-1779210.351630348</v>
      </c>
      <c r="K9" s="91">
        <f>-'Simplified Model'!L8</f>
        <v>-1856999.0832830234</v>
      </c>
      <c r="L9" s="91">
        <f>-'Simplified Model'!M8</f>
        <v>-1956179.7161401852</v>
      </c>
      <c r="M9" s="102">
        <f>L9*(1+M3)</f>
        <v>-2738651.6025962592</v>
      </c>
    </row>
    <row r="10" spans="2:13" x14ac:dyDescent="0.2">
      <c r="B10" s="75" t="s">
        <v>192</v>
      </c>
      <c r="E10" s="90">
        <f>E8+E9</f>
        <v>2210010</v>
      </c>
      <c r="F10" s="90">
        <f t="shared" ref="F10:M10" si="1">F8+F9</f>
        <v>2410258</v>
      </c>
      <c r="G10" s="90">
        <f t="shared" si="1"/>
        <v>2357055</v>
      </c>
      <c r="H10" s="90">
        <f t="shared" si="1"/>
        <v>2329513.8084399998</v>
      </c>
      <c r="I10" s="90">
        <f t="shared" si="1"/>
        <v>2352808.9465243998</v>
      </c>
      <c r="J10" s="90">
        <f t="shared" si="1"/>
        <v>2358488.1405332517</v>
      </c>
      <c r="K10" s="90">
        <f t="shared" si="1"/>
        <v>2363453.3787238481</v>
      </c>
      <c r="L10" s="90">
        <f t="shared" si="1"/>
        <v>2390886.3197268927</v>
      </c>
      <c r="M10" s="103">
        <f t="shared" si="1"/>
        <v>1956179.7161401859</v>
      </c>
    </row>
    <row r="11" spans="2:13" x14ac:dyDescent="0.2">
      <c r="B11" s="75"/>
      <c r="E11" s="93"/>
      <c r="F11" s="93"/>
      <c r="G11" s="93"/>
      <c r="H11" s="93"/>
      <c r="I11" s="93"/>
      <c r="J11" s="93"/>
      <c r="K11" s="93"/>
      <c r="L11" s="93"/>
      <c r="M11" s="104"/>
    </row>
    <row r="12" spans="2:13" x14ac:dyDescent="0.2">
      <c r="B12" s="75" t="s">
        <v>191</v>
      </c>
      <c r="E12" s="91">
        <f>'Simplified Model'!F10</f>
        <v>1163940</v>
      </c>
      <c r="F12" s="91">
        <f>'Simplified Model'!G10</f>
        <v>1364265</v>
      </c>
      <c r="G12" s="91">
        <f>'Simplified Model'!H10</f>
        <v>1469425</v>
      </c>
      <c r="H12" s="91">
        <f>'Simplified Model'!I10</f>
        <v>1285248.9977599999</v>
      </c>
      <c r="I12" s="91">
        <f>'Simplified Model'!J10</f>
        <v>1338667.1592293999</v>
      </c>
      <c r="J12" s="91">
        <f>'Simplified Model'!K10</f>
        <v>1489571.4571788958</v>
      </c>
      <c r="K12" s="91">
        <f>'Simplified Model'!L10</f>
        <v>1519362.8863224736</v>
      </c>
      <c r="L12" s="91">
        <f>'Simplified Model'!M10</f>
        <v>1521473.1125534773</v>
      </c>
      <c r="M12" s="102">
        <f>L12*(1+M4)</f>
        <v>1977915.0463195206</v>
      </c>
    </row>
    <row r="13" spans="2:13" x14ac:dyDescent="0.2">
      <c r="B13" s="75" t="s">
        <v>188</v>
      </c>
      <c r="E13" s="90">
        <f>E10-E12-E15</f>
        <v>1100374</v>
      </c>
      <c r="F13" s="90">
        <f t="shared" ref="F13:M13" si="2">F10-F12-F15</f>
        <v>1115833</v>
      </c>
      <c r="G13" s="90">
        <f t="shared" si="2"/>
        <v>966912</v>
      </c>
      <c r="H13" s="90">
        <f t="shared" si="2"/>
        <v>1218467.91068</v>
      </c>
      <c r="I13" s="90">
        <f t="shared" si="2"/>
        <v>1049562.097295</v>
      </c>
      <c r="J13" s="90">
        <f t="shared" si="2"/>
        <v>876097.36035435589</v>
      </c>
      <c r="K13" s="90">
        <f t="shared" si="2"/>
        <v>855116.96630137449</v>
      </c>
      <c r="L13" s="90">
        <f t="shared" si="2"/>
        <v>913131.73890341551</v>
      </c>
      <c r="M13" s="103">
        <f t="shared" si="2"/>
        <v>24125.409605435372</v>
      </c>
    </row>
    <row r="14" spans="2:13" x14ac:dyDescent="0.2">
      <c r="B14" s="75"/>
      <c r="E14" s="93"/>
      <c r="F14" s="93"/>
      <c r="G14" s="93"/>
      <c r="H14" s="93"/>
      <c r="I14" s="93"/>
      <c r="J14" s="93"/>
      <c r="K14" s="93"/>
      <c r="L14" s="93"/>
      <c r="M14" s="104"/>
    </row>
    <row r="15" spans="2:13" x14ac:dyDescent="0.2">
      <c r="B15" s="75" t="s">
        <v>193</v>
      </c>
      <c r="E15" s="91">
        <f>-'Simplified Model'!F57</f>
        <v>-54304</v>
      </c>
      <c r="F15" s="91">
        <f>-'Simplified Model'!G57</f>
        <v>-69840</v>
      </c>
      <c r="G15" s="91">
        <f>-'Simplified Model'!H57</f>
        <v>-79282</v>
      </c>
      <c r="H15" s="91">
        <f>-'Simplified Model'!I57</f>
        <v>-174203.1</v>
      </c>
      <c r="I15" s="91">
        <f>-'Simplified Model'!J57</f>
        <v>-35420.31</v>
      </c>
      <c r="J15" s="91">
        <f>-'Simplified Model'!K57</f>
        <v>-7180.6769999999988</v>
      </c>
      <c r="K15" s="91">
        <f>-'Simplified Model'!L57</f>
        <v>-11026.473899999999</v>
      </c>
      <c r="L15" s="91">
        <f>-'Simplified Model'!M57</f>
        <v>-43718.531729999995</v>
      </c>
      <c r="M15" s="102">
        <f>L15*(1+M6)</f>
        <v>-45860.73978476999</v>
      </c>
    </row>
    <row r="16" spans="2:13" x14ac:dyDescent="0.2">
      <c r="B16" s="75" t="s">
        <v>194</v>
      </c>
      <c r="E16" s="90">
        <f>E10-E12</f>
        <v>1046070</v>
      </c>
      <c r="F16" s="90">
        <f t="shared" ref="F16:L16" si="3">F10-F12</f>
        <v>1045993</v>
      </c>
      <c r="G16" s="90">
        <f t="shared" si="3"/>
        <v>887630</v>
      </c>
      <c r="H16" s="90">
        <f t="shared" si="3"/>
        <v>1044264.8106799999</v>
      </c>
      <c r="I16" s="90">
        <f t="shared" si="3"/>
        <v>1014141.7872949999</v>
      </c>
      <c r="J16" s="90">
        <f t="shared" si="3"/>
        <v>868916.68335435586</v>
      </c>
      <c r="K16" s="90">
        <f t="shared" si="3"/>
        <v>844090.4924013745</v>
      </c>
      <c r="L16" s="90">
        <f t="shared" si="3"/>
        <v>869413.20717341546</v>
      </c>
      <c r="M16" s="103">
        <f>M10-M12</f>
        <v>-21735.330179334618</v>
      </c>
    </row>
    <row r="17" spans="2:13" x14ac:dyDescent="0.2">
      <c r="B17" s="75"/>
      <c r="E17" s="93"/>
      <c r="F17" s="93"/>
      <c r="G17" s="93"/>
      <c r="H17" s="93"/>
      <c r="I17" s="93"/>
      <c r="J17" s="93"/>
      <c r="K17" s="93"/>
      <c r="L17" s="93"/>
      <c r="M17" s="104"/>
    </row>
    <row r="18" spans="2:13" x14ac:dyDescent="0.2">
      <c r="B18" s="75" t="s">
        <v>195</v>
      </c>
      <c r="E18" s="94">
        <f>'Full Historical Statements'!F11</f>
        <v>9.5525133748425153E-2</v>
      </c>
      <c r="F18" s="94">
        <f>'Full Historical Statements'!G11</f>
        <v>4.3363332363260981E-2</v>
      </c>
      <c r="G18" s="94">
        <f>'Full Historical Statements'!H11</f>
        <v>2.1126366850283649</v>
      </c>
      <c r="H18" s="94">
        <f>'Full Historical Statements'!I11</f>
        <v>0.25</v>
      </c>
      <c r="I18" s="94">
        <f>'Full Historical Statements'!J11</f>
        <v>0.25</v>
      </c>
      <c r="J18" s="94">
        <f>'Full Historical Statements'!K11</f>
        <v>0.25</v>
      </c>
      <c r="K18" s="94">
        <f>'Full Historical Statements'!L11</f>
        <v>0.25</v>
      </c>
      <c r="L18" s="94">
        <f>'Full Historical Statements'!M11</f>
        <v>0.25</v>
      </c>
      <c r="M18" s="170">
        <v>0.28000000000000003</v>
      </c>
    </row>
    <row r="19" spans="2:13" x14ac:dyDescent="0.2">
      <c r="B19" s="75" t="s">
        <v>196</v>
      </c>
      <c r="E19" s="89">
        <f>-'Simplified Model'!F18</f>
        <v>-83706</v>
      </c>
      <c r="F19" s="89">
        <f>-'Simplified Model'!G18</f>
        <v>39486</v>
      </c>
      <c r="G19" s="89">
        <f>-'Simplified Model'!H18</f>
        <v>-154176</v>
      </c>
      <c r="H19" s="89">
        <f>-'Simplified Model'!I18</f>
        <v>-104245.94196832798</v>
      </c>
      <c r="I19" s="89">
        <f>-'Simplified Model'!J18</f>
        <v>-56043.960000000006</v>
      </c>
      <c r="J19" s="89">
        <f>-'Simplified Model'!K18</f>
        <v>-124678.49483858896</v>
      </c>
      <c r="K19" s="89">
        <f>-'Simplified Model'!L18</f>
        <v>-95692.24</v>
      </c>
      <c r="L19" s="89">
        <f>-'Simplified Model'!M18</f>
        <v>-124899.32</v>
      </c>
      <c r="M19" s="102">
        <f>M16*M18</f>
        <v>-6085.8924502136933</v>
      </c>
    </row>
    <row r="20" spans="2:13" x14ac:dyDescent="0.2">
      <c r="E20" s="93"/>
      <c r="F20" s="93"/>
      <c r="G20" s="93"/>
      <c r="H20" s="93"/>
      <c r="I20" s="93"/>
      <c r="J20" s="93"/>
      <c r="K20" s="93"/>
      <c r="L20" s="93"/>
      <c r="M20" s="93"/>
    </row>
    <row r="21" spans="2:13" x14ac:dyDescent="0.2">
      <c r="E21" s="93"/>
      <c r="F21" s="93"/>
      <c r="G21" s="93"/>
      <c r="H21" s="93"/>
      <c r="I21" s="93"/>
      <c r="J21" s="93"/>
      <c r="K21" s="93"/>
      <c r="L21" s="93"/>
      <c r="M21" s="93"/>
    </row>
    <row r="22" spans="2:13" x14ac:dyDescent="0.2">
      <c r="B22" s="50"/>
      <c r="C22" s="50"/>
      <c r="D22" s="50"/>
      <c r="E22" s="97"/>
      <c r="F22" s="97"/>
      <c r="G22" s="97"/>
      <c r="H22" s="97"/>
      <c r="I22" s="97"/>
      <c r="J22" s="97"/>
      <c r="K22" s="97"/>
      <c r="L22" s="97"/>
      <c r="M22" s="97"/>
    </row>
    <row r="23" spans="2:13" x14ac:dyDescent="0.2">
      <c r="B23" s="49"/>
      <c r="C23" s="49"/>
      <c r="D23" s="49"/>
      <c r="E23" s="111"/>
      <c r="F23" s="111"/>
      <c r="G23" s="111"/>
      <c r="H23" s="111"/>
      <c r="I23" s="111"/>
      <c r="J23" s="111"/>
      <c r="K23" s="111"/>
      <c r="L23" s="111"/>
      <c r="M23" s="111"/>
    </row>
    <row r="24" spans="2:13" ht="23" x14ac:dyDescent="0.25">
      <c r="B24" s="118" t="s">
        <v>230</v>
      </c>
      <c r="C24" s="112"/>
      <c r="D24" s="112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2:13" x14ac:dyDescent="0.2">
      <c r="B25" s="49"/>
      <c r="C25" s="49"/>
      <c r="D25" s="49"/>
      <c r="E25" s="111"/>
      <c r="F25" s="111"/>
      <c r="G25" s="111"/>
      <c r="H25" s="111"/>
      <c r="I25" s="111"/>
      <c r="J25" s="111"/>
      <c r="K25" s="111"/>
      <c r="L25" s="111"/>
      <c r="M25" s="111"/>
    </row>
    <row r="26" spans="2:13" x14ac:dyDescent="0.2">
      <c r="E26" s="93"/>
      <c r="F26" s="93"/>
      <c r="G26" s="93"/>
      <c r="H26" s="93"/>
      <c r="I26" s="93"/>
      <c r="J26" s="93"/>
      <c r="K26" s="93"/>
      <c r="L26" s="93"/>
      <c r="M26" s="93"/>
    </row>
    <row r="27" spans="2:13" ht="17" thickBot="1" x14ac:dyDescent="0.25">
      <c r="B27" s="75"/>
      <c r="C27" s="75"/>
      <c r="D27" s="75"/>
      <c r="E27" s="105" t="s">
        <v>202</v>
      </c>
      <c r="F27" s="105" t="s">
        <v>203</v>
      </c>
      <c r="G27" s="105" t="s">
        <v>204</v>
      </c>
      <c r="H27" s="106" t="s">
        <v>205</v>
      </c>
      <c r="I27" s="106" t="s">
        <v>206</v>
      </c>
      <c r="J27" s="106" t="s">
        <v>207</v>
      </c>
      <c r="K27" s="106" t="s">
        <v>208</v>
      </c>
      <c r="L27" s="106" t="s">
        <v>209</v>
      </c>
      <c r="M27" s="106" t="s">
        <v>210</v>
      </c>
    </row>
    <row r="28" spans="2:13" x14ac:dyDescent="0.2">
      <c r="B28" s="76" t="s">
        <v>187</v>
      </c>
      <c r="C28" s="75"/>
      <c r="D28" s="75"/>
      <c r="E28" s="93"/>
      <c r="F28" s="93"/>
      <c r="G28" s="93"/>
      <c r="H28" s="93"/>
      <c r="I28" s="93"/>
      <c r="J28" s="93"/>
      <c r="K28" s="93"/>
      <c r="L28" s="93"/>
      <c r="M28" s="93"/>
    </row>
    <row r="29" spans="2:13" x14ac:dyDescent="0.2">
      <c r="B29" s="116" t="s">
        <v>145</v>
      </c>
      <c r="C29" s="75"/>
      <c r="D29" s="75"/>
      <c r="E29" s="90">
        <f>E16</f>
        <v>1046070</v>
      </c>
      <c r="F29" s="90">
        <f>F16</f>
        <v>1045993</v>
      </c>
      <c r="G29" s="90">
        <f>G16</f>
        <v>887630</v>
      </c>
      <c r="H29" s="90">
        <f>H16</f>
        <v>1044264.8106799999</v>
      </c>
      <c r="I29" s="90">
        <f>I16</f>
        <v>1014141.7872949999</v>
      </c>
      <c r="J29" s="90">
        <f>J16</f>
        <v>868916.68335435586</v>
      </c>
      <c r="K29" s="90">
        <f>K16</f>
        <v>844090.4924013745</v>
      </c>
      <c r="L29" s="90">
        <f>L16</f>
        <v>869413.20717341546</v>
      </c>
      <c r="M29" s="101">
        <f>M16</f>
        <v>-21735.330179334618</v>
      </c>
    </row>
    <row r="30" spans="2:13" x14ac:dyDescent="0.2">
      <c r="B30" s="116" t="s">
        <v>197</v>
      </c>
      <c r="C30" s="75"/>
      <c r="D30" s="75"/>
      <c r="E30" s="92">
        <f>E19</f>
        <v>-83706</v>
      </c>
      <c r="F30" s="92">
        <f t="shared" ref="F30:L30" si="4">F19</f>
        <v>39486</v>
      </c>
      <c r="G30" s="92">
        <f t="shared" si="4"/>
        <v>-154176</v>
      </c>
      <c r="H30" s="92">
        <f t="shared" si="4"/>
        <v>-104245.94196832798</v>
      </c>
      <c r="I30" s="92">
        <f t="shared" si="4"/>
        <v>-56043.960000000006</v>
      </c>
      <c r="J30" s="92">
        <f t="shared" si="4"/>
        <v>-124678.49483858896</v>
      </c>
      <c r="K30" s="92">
        <f t="shared" si="4"/>
        <v>-95692.24</v>
      </c>
      <c r="L30" s="92">
        <f t="shared" si="4"/>
        <v>-124899.32</v>
      </c>
      <c r="M30" s="102">
        <f t="shared" ref="M30" si="5">M19</f>
        <v>-6085.8924502136933</v>
      </c>
    </row>
    <row r="31" spans="2:13" x14ac:dyDescent="0.2">
      <c r="B31" s="117" t="s">
        <v>198</v>
      </c>
      <c r="C31" s="75"/>
      <c r="D31" s="75"/>
      <c r="E31" s="95">
        <f>SUM(E29:E30)</f>
        <v>962364</v>
      </c>
      <c r="F31" s="95">
        <f t="shared" ref="F31:M31" si="6">SUM(F29:F30)</f>
        <v>1085479</v>
      </c>
      <c r="G31" s="95">
        <f t="shared" si="6"/>
        <v>733454</v>
      </c>
      <c r="H31" s="95">
        <f t="shared" si="6"/>
        <v>940018.86871167191</v>
      </c>
      <c r="I31" s="95">
        <f t="shared" si="6"/>
        <v>958097.82729499997</v>
      </c>
      <c r="J31" s="95">
        <f t="shared" si="6"/>
        <v>744238.18851576687</v>
      </c>
      <c r="K31" s="95">
        <f t="shared" si="6"/>
        <v>748398.25240137451</v>
      </c>
      <c r="L31" s="95">
        <f t="shared" si="6"/>
        <v>744513.88717341539</v>
      </c>
      <c r="M31" s="107">
        <f t="shared" si="6"/>
        <v>-27821.222629548312</v>
      </c>
    </row>
    <row r="32" spans="2:13" x14ac:dyDescent="0.2">
      <c r="B32" s="116" t="s">
        <v>199</v>
      </c>
      <c r="C32" s="75"/>
      <c r="D32" s="75"/>
      <c r="E32" s="89">
        <f>-E15</f>
        <v>54304</v>
      </c>
      <c r="F32" s="89">
        <f t="shared" ref="F32:L32" si="7">-F15</f>
        <v>69840</v>
      </c>
      <c r="G32" s="89">
        <f t="shared" si="7"/>
        <v>79282</v>
      </c>
      <c r="H32" s="89">
        <f t="shared" si="7"/>
        <v>174203.1</v>
      </c>
      <c r="I32" s="89">
        <f t="shared" si="7"/>
        <v>35420.31</v>
      </c>
      <c r="J32" s="89">
        <f t="shared" si="7"/>
        <v>7180.6769999999988</v>
      </c>
      <c r="K32" s="89">
        <f t="shared" si="7"/>
        <v>11026.473899999999</v>
      </c>
      <c r="L32" s="89">
        <f t="shared" si="7"/>
        <v>43718.531729999995</v>
      </c>
      <c r="M32" s="108">
        <f t="shared" ref="M32" si="8">-M15</f>
        <v>45860.73978476999</v>
      </c>
    </row>
    <row r="33" spans="2:13" x14ac:dyDescent="0.2">
      <c r="B33" s="116" t="s">
        <v>200</v>
      </c>
      <c r="C33" s="75"/>
      <c r="D33" s="75"/>
      <c r="E33" s="89">
        <f>'Simplified Model'!F61</f>
        <v>-115625</v>
      </c>
      <c r="F33" s="89">
        <f>'Simplified Model'!G61</f>
        <v>-69347</v>
      </c>
      <c r="G33" s="89">
        <f>'Simplified Model'!H61</f>
        <v>-51231</v>
      </c>
      <c r="H33" s="89">
        <f>-'Simplified Model'!I61</f>
        <v>-20000</v>
      </c>
      <c r="I33" s="89">
        <f>-'Simplified Model'!J61</f>
        <v>-20000</v>
      </c>
      <c r="J33" s="89">
        <f>-'Simplified Model'!K61</f>
        <v>-20000</v>
      </c>
      <c r="K33" s="89">
        <f>-'Simplified Model'!L61</f>
        <v>-120000</v>
      </c>
      <c r="L33" s="89">
        <f>-'Simplified Model'!M61</f>
        <v>-100000</v>
      </c>
      <c r="M33" s="108">
        <v>-70000</v>
      </c>
    </row>
    <row r="34" spans="2:13" x14ac:dyDescent="0.2">
      <c r="B34" s="116" t="s">
        <v>201</v>
      </c>
      <c r="C34" s="75"/>
      <c r="D34" s="75"/>
      <c r="E34" s="89">
        <f>'Full Historical Statements'!F125</f>
        <v>-106501</v>
      </c>
      <c r="F34" s="89">
        <f>'Full Historical Statements'!G125</f>
        <v>-80813</v>
      </c>
      <c r="G34" s="89">
        <f>'Full Historical Statements'!H125</f>
        <v>31778</v>
      </c>
      <c r="H34" s="89">
        <f>'Full Historical Statements'!I125</f>
        <v>47154.964337176934</v>
      </c>
      <c r="I34" s="89">
        <f>'Full Historical Statements'!J125</f>
        <v>2831.1252579374705</v>
      </c>
      <c r="J34" s="89">
        <f>'Full Historical Statements'!K125</f>
        <v>11789.60666260327</v>
      </c>
      <c r="K34" s="89">
        <f>'Full Historical Statements'!L125</f>
        <v>12088.881293269049</v>
      </c>
      <c r="L34" s="89">
        <f>'Full Historical Statements'!M125</f>
        <v>16974.31291568809</v>
      </c>
      <c r="M34" s="109">
        <v>46000</v>
      </c>
    </row>
    <row r="35" spans="2:13" ht="17" thickBot="1" x14ac:dyDescent="0.25">
      <c r="B35" s="117" t="s">
        <v>187</v>
      </c>
      <c r="C35" s="76"/>
      <c r="D35" s="76"/>
      <c r="E35" s="96">
        <f>SUM(E31:E34)</f>
        <v>794542</v>
      </c>
      <c r="F35" s="96">
        <f t="shared" ref="F35:M35" si="9">SUM(F31:F34)</f>
        <v>1005159</v>
      </c>
      <c r="G35" s="96">
        <f t="shared" si="9"/>
        <v>793283</v>
      </c>
      <c r="H35" s="96">
        <f t="shared" si="9"/>
        <v>1141376.9330488488</v>
      </c>
      <c r="I35" s="96">
        <f t="shared" si="9"/>
        <v>976349.26255293749</v>
      </c>
      <c r="J35" s="96">
        <f t="shared" si="9"/>
        <v>743208.47217837023</v>
      </c>
      <c r="K35" s="96">
        <f t="shared" si="9"/>
        <v>651513.60759464349</v>
      </c>
      <c r="L35" s="96">
        <f t="shared" si="9"/>
        <v>705206.73181910347</v>
      </c>
      <c r="M35" s="110">
        <f t="shared" si="9"/>
        <v>-5960.482844778322</v>
      </c>
    </row>
    <row r="38" spans="2:13" ht="23" x14ac:dyDescent="0.25">
      <c r="B38" s="118" t="s">
        <v>231</v>
      </c>
      <c r="C38" s="112"/>
      <c r="D38" s="112"/>
      <c r="E38" s="113"/>
      <c r="F38" s="113"/>
      <c r="G38" s="113"/>
      <c r="H38" s="113"/>
      <c r="I38" s="113"/>
      <c r="J38" s="113"/>
      <c r="K38" s="113"/>
      <c r="L38" s="113"/>
      <c r="M38" s="113"/>
    </row>
    <row r="39" spans="2:13" s="115" customFormat="1" ht="23" x14ac:dyDescent="0.25">
      <c r="B39" s="119"/>
      <c r="C39" s="120"/>
      <c r="D39" s="120"/>
      <c r="E39" s="114"/>
      <c r="F39" s="114"/>
      <c r="G39" s="114"/>
      <c r="H39" s="114"/>
      <c r="I39" s="114"/>
      <c r="J39" s="114"/>
      <c r="K39" s="114"/>
      <c r="L39" s="114"/>
      <c r="M39" s="114"/>
    </row>
    <row r="40" spans="2:13" ht="17" thickBot="1" x14ac:dyDescent="0.25">
      <c r="B40" s="75"/>
      <c r="C40" s="75"/>
      <c r="D40" s="75"/>
      <c r="E40" s="75"/>
      <c r="F40" s="75"/>
      <c r="G40" s="75"/>
      <c r="H40" s="106" t="s">
        <v>205</v>
      </c>
      <c r="I40" s="106" t="s">
        <v>206</v>
      </c>
      <c r="J40" s="106" t="s">
        <v>207</v>
      </c>
      <c r="K40" s="106" t="s">
        <v>208</v>
      </c>
      <c r="L40" s="106" t="s">
        <v>209</v>
      </c>
      <c r="M40" s="106" t="s">
        <v>210</v>
      </c>
    </row>
    <row r="41" spans="2:13" x14ac:dyDescent="0.2">
      <c r="B41" s="75"/>
      <c r="C41" s="75"/>
      <c r="D41" s="75"/>
      <c r="E41" s="75"/>
      <c r="F41" s="75"/>
      <c r="G41" s="75"/>
      <c r="H41" s="79"/>
      <c r="I41" s="79"/>
      <c r="J41" s="79"/>
      <c r="K41" s="79"/>
      <c r="L41" s="79"/>
      <c r="M41" s="79"/>
    </row>
    <row r="42" spans="2:13" x14ac:dyDescent="0.2">
      <c r="B42" s="75" t="s">
        <v>211</v>
      </c>
      <c r="C42" s="75"/>
      <c r="D42" s="75"/>
      <c r="E42" s="75"/>
      <c r="F42" s="75"/>
      <c r="G42" s="75"/>
      <c r="H42" s="126">
        <v>794542</v>
      </c>
      <c r="I42" s="127">
        <f t="shared" ref="I42:M42" si="10">I35</f>
        <v>976349.26255293749</v>
      </c>
      <c r="J42" s="127">
        <f t="shared" si="10"/>
        <v>743208.47217837023</v>
      </c>
      <c r="K42" s="127">
        <f t="shared" si="10"/>
        <v>651513.60759464349</v>
      </c>
      <c r="L42" s="127">
        <f t="shared" si="10"/>
        <v>705206.73181910347</v>
      </c>
      <c r="M42" s="128">
        <f t="shared" si="10"/>
        <v>-5960.482844778322</v>
      </c>
    </row>
    <row r="43" spans="2:13" x14ac:dyDescent="0.2">
      <c r="B43" s="75" t="s">
        <v>212</v>
      </c>
      <c r="C43" s="75"/>
      <c r="D43" s="75"/>
      <c r="E43" s="75"/>
      <c r="F43" s="75"/>
      <c r="G43" s="75"/>
      <c r="H43" s="129"/>
      <c r="I43" s="78"/>
      <c r="J43" s="78"/>
      <c r="K43" s="78"/>
      <c r="L43" s="78"/>
      <c r="M43" s="130">
        <f>M13</f>
        <v>24125.409605435372</v>
      </c>
    </row>
    <row r="44" spans="2:13" x14ac:dyDescent="0.2">
      <c r="B44" s="75"/>
      <c r="C44" s="75"/>
      <c r="D44" s="75"/>
      <c r="E44" s="75"/>
      <c r="F44" s="75"/>
      <c r="G44" s="75"/>
      <c r="H44" s="79"/>
      <c r="I44" s="79"/>
      <c r="J44" s="79"/>
      <c r="K44" s="79"/>
      <c r="L44" s="79"/>
      <c r="M44" s="79"/>
    </row>
    <row r="45" spans="2:13" x14ac:dyDescent="0.2">
      <c r="B45" s="75"/>
      <c r="C45" s="75"/>
      <c r="D45" s="75"/>
      <c r="E45" s="75"/>
      <c r="F45" s="75"/>
      <c r="G45" s="75"/>
      <c r="H45" s="79"/>
      <c r="I45" s="79"/>
      <c r="J45" s="79"/>
      <c r="K45" s="79"/>
      <c r="L45" s="79"/>
      <c r="M45" s="79"/>
    </row>
    <row r="46" spans="2:13" x14ac:dyDescent="0.2">
      <c r="B46" s="76" t="s">
        <v>213</v>
      </c>
      <c r="C46" s="75"/>
      <c r="D46" s="75"/>
      <c r="E46" s="75"/>
      <c r="F46" s="75"/>
      <c r="G46" s="75"/>
      <c r="H46" s="79"/>
      <c r="I46" s="79"/>
      <c r="J46" s="79"/>
      <c r="K46" s="79"/>
      <c r="L46" s="79"/>
      <c r="M46" s="79"/>
    </row>
    <row r="47" spans="2:13" x14ac:dyDescent="0.2">
      <c r="B47" s="116" t="s">
        <v>214</v>
      </c>
      <c r="C47" s="75"/>
      <c r="D47" s="75"/>
      <c r="E47" s="75"/>
      <c r="F47" s="75"/>
      <c r="G47" s="75"/>
      <c r="H47" s="77">
        <f>H42</f>
        <v>794542</v>
      </c>
      <c r="I47" s="77">
        <f t="shared" ref="I47:M47" si="11">I42</f>
        <v>976349.26255293749</v>
      </c>
      <c r="J47" s="77">
        <f t="shared" si="11"/>
        <v>743208.47217837023</v>
      </c>
      <c r="K47" s="77">
        <f t="shared" si="11"/>
        <v>651513.60759464349</v>
      </c>
      <c r="L47" s="77">
        <f t="shared" si="11"/>
        <v>705206.73181910347</v>
      </c>
      <c r="M47" s="77">
        <f t="shared" si="11"/>
        <v>-5960.482844778322</v>
      </c>
    </row>
    <row r="48" spans="2:13" x14ac:dyDescent="0.2">
      <c r="B48" s="116" t="s">
        <v>215</v>
      </c>
      <c r="C48" s="75"/>
      <c r="D48" s="75"/>
      <c r="E48" s="75"/>
      <c r="F48" s="75"/>
      <c r="G48" s="75"/>
      <c r="H48" s="79">
        <v>0</v>
      </c>
      <c r="I48" s="79">
        <v>0</v>
      </c>
      <c r="J48" s="79">
        <v>0</v>
      </c>
      <c r="K48" s="79">
        <v>0</v>
      </c>
      <c r="L48" s="79">
        <v>0</v>
      </c>
      <c r="M48" s="77">
        <f>M43*C54</f>
        <v>1930.0327684348299</v>
      </c>
    </row>
    <row r="49" spans="2:16" x14ac:dyDescent="0.2">
      <c r="B49" s="123" t="s">
        <v>216</v>
      </c>
      <c r="C49" s="124"/>
      <c r="D49" s="124"/>
      <c r="E49" s="124"/>
      <c r="F49" s="124"/>
      <c r="G49" s="124"/>
      <c r="H49" s="131">
        <f>SUM(H47:H48)</f>
        <v>794542</v>
      </c>
      <c r="I49" s="131">
        <f t="shared" ref="I49:M49" si="12">SUM(I47:I48)</f>
        <v>976349.26255293749</v>
      </c>
      <c r="J49" s="131">
        <f t="shared" si="12"/>
        <v>743208.47217837023</v>
      </c>
      <c r="K49" s="131">
        <f t="shared" si="12"/>
        <v>651513.60759464349</v>
      </c>
      <c r="L49" s="131">
        <f t="shared" si="12"/>
        <v>705206.73181910347</v>
      </c>
      <c r="M49" s="132">
        <f t="shared" si="12"/>
        <v>-4030.4500763434921</v>
      </c>
    </row>
    <row r="50" spans="2:16" x14ac:dyDescent="0.2"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</row>
    <row r="51" spans="2:16" x14ac:dyDescent="0.2">
      <c r="B51" s="75"/>
      <c r="C51" s="125">
        <v>8</v>
      </c>
      <c r="D51" s="75"/>
      <c r="E51" s="75"/>
      <c r="F51" s="75"/>
      <c r="G51" s="75"/>
      <c r="H51" s="75"/>
      <c r="I51" s="75"/>
      <c r="J51" s="75"/>
      <c r="K51" s="75"/>
      <c r="L51" s="75"/>
      <c r="M51" s="75"/>
    </row>
    <row r="52" spans="2:16" x14ac:dyDescent="0.2">
      <c r="B52" s="76" t="s">
        <v>217</v>
      </c>
      <c r="C52" s="75"/>
      <c r="D52" s="75"/>
      <c r="E52" s="75"/>
      <c r="F52" s="76" t="s">
        <v>220</v>
      </c>
      <c r="G52" s="75"/>
      <c r="H52" s="75"/>
      <c r="J52" s="76" t="s">
        <v>227</v>
      </c>
      <c r="K52" s="75"/>
      <c r="L52" s="75"/>
      <c r="M52" s="75"/>
    </row>
    <row r="53" spans="2:16" x14ac:dyDescent="0.2">
      <c r="B53" s="159" t="s">
        <v>234</v>
      </c>
      <c r="C53" s="140">
        <v>2026</v>
      </c>
      <c r="D53" s="75"/>
      <c r="E53" s="75"/>
      <c r="F53" s="162" t="s">
        <v>221</v>
      </c>
      <c r="G53" s="163"/>
      <c r="H53" s="167">
        <f>NPV(C55,H47,I47,J47,K47,L47)</f>
        <v>2862298.7798900967</v>
      </c>
      <c r="I53" s="75"/>
      <c r="J53" s="159" t="s">
        <v>226</v>
      </c>
      <c r="K53" s="133"/>
      <c r="L53" s="133"/>
      <c r="M53" s="121">
        <f>H61</f>
        <v>2021526.2150927898</v>
      </c>
      <c r="N53" s="75"/>
      <c r="O53" s="75"/>
      <c r="P53" s="75"/>
    </row>
    <row r="54" spans="2:16" x14ac:dyDescent="0.2">
      <c r="B54" s="158" t="s">
        <v>218</v>
      </c>
      <c r="C54" s="143">
        <v>0.08</v>
      </c>
      <c r="D54" s="75"/>
      <c r="E54" s="75"/>
      <c r="F54" s="164" t="s">
        <v>222</v>
      </c>
      <c r="G54" s="165"/>
      <c r="H54" s="168">
        <f>NPV(C55,H48:M48)</f>
        <v>1002.4352026929674</v>
      </c>
      <c r="I54" s="75"/>
      <c r="J54" s="158" t="s">
        <v>228</v>
      </c>
      <c r="K54" s="134"/>
      <c r="L54" s="136" t="s">
        <v>232</v>
      </c>
      <c r="M54" s="137">
        <v>54200</v>
      </c>
      <c r="N54" s="75"/>
      <c r="O54" s="75"/>
      <c r="P54" s="75"/>
    </row>
    <row r="55" spans="2:16" x14ac:dyDescent="0.2">
      <c r="B55" s="161" t="s">
        <v>219</v>
      </c>
      <c r="C55" s="152">
        <f>(C75*C62)+(C81*C68)</f>
        <v>0.11536769643973048</v>
      </c>
      <c r="D55" s="75"/>
      <c r="E55" s="75"/>
      <c r="F55" s="160" t="s">
        <v>223</v>
      </c>
      <c r="G55" s="166"/>
      <c r="H55" s="169">
        <f>H53+H54</f>
        <v>2863301.2150927898</v>
      </c>
      <c r="I55" s="75"/>
      <c r="J55" s="160" t="s">
        <v>226</v>
      </c>
      <c r="K55" s="135"/>
      <c r="L55" s="138" t="s">
        <v>233</v>
      </c>
      <c r="M55" s="139">
        <f>M53/M54</f>
        <v>37.297531643778413</v>
      </c>
      <c r="N55" s="75"/>
      <c r="O55" s="75"/>
      <c r="P55" s="75"/>
    </row>
    <row r="56" spans="2:16" x14ac:dyDescent="0.2"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</row>
    <row r="57" spans="2:16" x14ac:dyDescent="0.2"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</row>
    <row r="58" spans="2:16" x14ac:dyDescent="0.2">
      <c r="B58" s="76" t="s">
        <v>235</v>
      </c>
      <c r="C58" s="75"/>
      <c r="D58" s="75"/>
      <c r="E58" s="75"/>
      <c r="F58" s="76" t="s">
        <v>224</v>
      </c>
      <c r="G58" s="75"/>
      <c r="H58" s="75"/>
      <c r="I58" s="75"/>
      <c r="J58" s="75"/>
      <c r="K58" s="75"/>
      <c r="L58" s="75"/>
      <c r="M58" s="75"/>
    </row>
    <row r="59" spans="2:16" x14ac:dyDescent="0.2">
      <c r="B59" s="159" t="s">
        <v>236</v>
      </c>
      <c r="C59" s="141">
        <v>4.6199999999999998E-2</v>
      </c>
      <c r="D59" s="75"/>
      <c r="E59" s="75"/>
      <c r="F59" s="159" t="s">
        <v>223</v>
      </c>
      <c r="G59" s="133"/>
      <c r="H59" s="121">
        <f>H55</f>
        <v>2863301.2150927898</v>
      </c>
      <c r="I59" s="75"/>
      <c r="J59" s="75"/>
      <c r="K59" s="75"/>
      <c r="L59" s="75"/>
      <c r="M59" s="75"/>
      <c r="N59" s="75"/>
    </row>
    <row r="60" spans="2:16" x14ac:dyDescent="0.2">
      <c r="B60" s="158" t="s">
        <v>237</v>
      </c>
      <c r="C60" s="142">
        <v>1.55</v>
      </c>
      <c r="D60" s="75"/>
      <c r="E60" s="75"/>
      <c r="F60" s="158" t="s">
        <v>225</v>
      </c>
      <c r="G60" s="134"/>
      <c r="H60" s="150">
        <f>-(1542341-700566)</f>
        <v>-841775</v>
      </c>
      <c r="I60" s="75"/>
      <c r="J60" s="75"/>
      <c r="K60" s="75"/>
      <c r="L60" s="75"/>
      <c r="M60" s="75"/>
      <c r="N60" s="75"/>
    </row>
    <row r="61" spans="2:16" x14ac:dyDescent="0.2">
      <c r="B61" s="158" t="s">
        <v>238</v>
      </c>
      <c r="C61" s="143">
        <v>0.05</v>
      </c>
      <c r="D61" s="75"/>
      <c r="E61" s="75"/>
      <c r="F61" s="160" t="s">
        <v>226</v>
      </c>
      <c r="G61" s="135"/>
      <c r="H61" s="122">
        <f>SUM(H59:H60)</f>
        <v>2021526.2150927898</v>
      </c>
      <c r="I61" s="75"/>
      <c r="J61" s="75"/>
      <c r="K61" s="75"/>
      <c r="L61" s="75"/>
      <c r="M61" s="75"/>
      <c r="N61" s="75"/>
    </row>
    <row r="62" spans="2:16" x14ac:dyDescent="0.2">
      <c r="B62" s="160" t="s">
        <v>239</v>
      </c>
      <c r="C62" s="145">
        <f>C59+C60*C61</f>
        <v>0.1237</v>
      </c>
    </row>
    <row r="65" spans="2:3" x14ac:dyDescent="0.2">
      <c r="B65" s="144" t="s">
        <v>240</v>
      </c>
    </row>
    <row r="66" spans="2:3" x14ac:dyDescent="0.2">
      <c r="B66" s="159" t="s">
        <v>241</v>
      </c>
      <c r="C66" s="141">
        <v>0.09</v>
      </c>
    </row>
    <row r="67" spans="2:3" x14ac:dyDescent="0.2">
      <c r="B67" s="157" t="s">
        <v>242</v>
      </c>
      <c r="C67" s="146">
        <f>28%</f>
        <v>0.28000000000000003</v>
      </c>
    </row>
    <row r="68" spans="2:3" x14ac:dyDescent="0.2">
      <c r="B68" s="160" t="s">
        <v>243</v>
      </c>
      <c r="C68" s="147">
        <f>C66*(1-C67)</f>
        <v>6.4799999999999996E-2</v>
      </c>
    </row>
    <row r="71" spans="2:3" x14ac:dyDescent="0.2">
      <c r="B71" s="144" t="s">
        <v>244</v>
      </c>
    </row>
    <row r="72" spans="2:3" x14ac:dyDescent="0.2">
      <c r="B72" s="156" t="s">
        <v>247</v>
      </c>
      <c r="C72" s="140">
        <v>130.46</v>
      </c>
    </row>
    <row r="73" spans="2:3" x14ac:dyDescent="0.2">
      <c r="B73" s="157" t="s">
        <v>228</v>
      </c>
      <c r="C73" s="137">
        <f>M54</f>
        <v>54200</v>
      </c>
    </row>
    <row r="74" spans="2:3" x14ac:dyDescent="0.2">
      <c r="B74" s="158" t="s">
        <v>246</v>
      </c>
      <c r="C74" s="148">
        <f>C72*C73</f>
        <v>7070932</v>
      </c>
    </row>
    <row r="75" spans="2:3" x14ac:dyDescent="0.2">
      <c r="B75" s="155" t="s">
        <v>252</v>
      </c>
      <c r="C75" s="74">
        <f>C74/(C80+C74)</f>
        <v>0.85853474430781795</v>
      </c>
    </row>
    <row r="76" spans="2:3" x14ac:dyDescent="0.2">
      <c r="B76" s="158" t="s">
        <v>248</v>
      </c>
      <c r="C76" s="149">
        <f>-'Simplified Model'!H15</f>
        <v>88287</v>
      </c>
    </row>
    <row r="77" spans="2:3" x14ac:dyDescent="0.2">
      <c r="B77" s="158" t="s">
        <v>249</v>
      </c>
      <c r="C77" s="146">
        <f>C66</f>
        <v>0.09</v>
      </c>
    </row>
    <row r="78" spans="2:3" x14ac:dyDescent="0.2">
      <c r="B78" s="158" t="s">
        <v>251</v>
      </c>
      <c r="C78" s="149">
        <f>'Simplified Model'!H39</f>
        <v>1230885</v>
      </c>
    </row>
    <row r="79" spans="2:3" x14ac:dyDescent="0.2">
      <c r="B79" s="158" t="s">
        <v>250</v>
      </c>
      <c r="C79" s="151">
        <f>4362000/C78</f>
        <v>3.5437916620967842</v>
      </c>
    </row>
    <row r="80" spans="2:3" x14ac:dyDescent="0.2">
      <c r="B80" s="157" t="s">
        <v>245</v>
      </c>
      <c r="C80" s="149">
        <f>-PV(C77,C79,C76,C78)</f>
        <v>1165114.4114947885</v>
      </c>
    </row>
    <row r="81" spans="2:3" x14ac:dyDescent="0.2">
      <c r="B81" s="153" t="s">
        <v>252</v>
      </c>
      <c r="C81" s="154">
        <f>C80/(C80+C74)</f>
        <v>0.14146525569218202</v>
      </c>
    </row>
  </sheetData>
  <mergeCells count="2">
    <mergeCell ref="F53:G53"/>
    <mergeCell ref="F54:G54"/>
  </mergeCells>
  <phoneticPr fontId="2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 Historical Statements</vt:lpstr>
      <vt:lpstr>Source Notes</vt:lpstr>
      <vt:lpstr>Simplified Model</vt:lpstr>
      <vt:lpstr>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Ibrahim M</cp:lastModifiedBy>
  <dcterms:created xsi:type="dcterms:W3CDTF">2026-07-13T22:27:41Z</dcterms:created>
  <dcterms:modified xsi:type="dcterms:W3CDTF">2026-07-14T10:30:41Z</dcterms:modified>
</cp:coreProperties>
</file>