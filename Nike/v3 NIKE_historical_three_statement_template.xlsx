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eamdojo/Desktop/Prep/"/>
    </mc:Choice>
  </mc:AlternateContent>
  <xr:revisionPtr revIDLastSave="0" documentId="13_ncr:1_{4401B47A-6E9E-5749-86E8-4E6ACDCCB38B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Full Historical Statements" sheetId="1" r:id="rId1"/>
    <sheet name="Simplified Model" sheetId="2" r:id="rId2"/>
    <sheet name="DCF" sheetId="4" r:id="rId3"/>
    <sheet name="Source Not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7" i="4" l="1"/>
  <c r="I66" i="4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0" i="4"/>
  <c r="L80" i="4" s="1"/>
  <c r="D84" i="4"/>
  <c r="D81" i="4"/>
  <c r="N61" i="4"/>
  <c r="D69" i="4"/>
  <c r="I23" i="4"/>
  <c r="J23" i="4"/>
  <c r="D74" i="4" s="1"/>
  <c r="D75" i="4" s="1"/>
  <c r="K23" i="4"/>
  <c r="L23" i="4"/>
  <c r="M23" i="4"/>
  <c r="L88" i="4" l="1"/>
  <c r="J101" i="1" l="1"/>
  <c r="K101" i="1" s="1"/>
  <c r="L101" i="1" s="1"/>
  <c r="M101" i="1" s="1"/>
  <c r="N101" i="1" s="1"/>
  <c r="J106" i="1"/>
  <c r="J66" i="2" s="1"/>
  <c r="K64" i="2"/>
  <c r="L64" i="2"/>
  <c r="M64" i="2"/>
  <c r="N64" i="2"/>
  <c r="J64" i="2"/>
  <c r="K59" i="2"/>
  <c r="L59" i="2"/>
  <c r="M59" i="2"/>
  <c r="N59" i="2"/>
  <c r="J59" i="2"/>
  <c r="K43" i="2"/>
  <c r="L43" i="2"/>
  <c r="M43" i="2"/>
  <c r="N43" i="2"/>
  <c r="K45" i="2"/>
  <c r="L45" i="2"/>
  <c r="M45" i="2"/>
  <c r="N45" i="2"/>
  <c r="J45" i="2"/>
  <c r="J43" i="2"/>
  <c r="K28" i="2"/>
  <c r="L28" i="2"/>
  <c r="M28" i="2"/>
  <c r="N28" i="2"/>
  <c r="J28" i="2"/>
  <c r="K13" i="2"/>
  <c r="L13" i="2"/>
  <c r="M13" i="2"/>
  <c r="N13" i="2"/>
  <c r="J13" i="2"/>
  <c r="J99" i="1"/>
  <c r="J62" i="2" s="1"/>
  <c r="J85" i="1"/>
  <c r="K85" i="1" s="1"/>
  <c r="L85" i="1" s="1"/>
  <c r="M85" i="1" s="1"/>
  <c r="N85" i="1" s="1"/>
  <c r="J83" i="1"/>
  <c r="K83" i="1" s="1"/>
  <c r="L83" i="1" s="1"/>
  <c r="M83" i="1" s="1"/>
  <c r="N83" i="1" s="1"/>
  <c r="J71" i="1"/>
  <c r="J44" i="2" s="1"/>
  <c r="J65" i="1"/>
  <c r="K65" i="1" s="1"/>
  <c r="L65" i="1" s="1"/>
  <c r="J64" i="1"/>
  <c r="K64" i="1" s="1"/>
  <c r="L64" i="1" s="1"/>
  <c r="L38" i="2" s="1"/>
  <c r="J61" i="1"/>
  <c r="K61" i="1" s="1"/>
  <c r="J60" i="1"/>
  <c r="K60" i="1" s="1"/>
  <c r="L60" i="1" s="1"/>
  <c r="J59" i="1"/>
  <c r="J35" i="2" s="1"/>
  <c r="J51" i="1"/>
  <c r="K51" i="1" s="1"/>
  <c r="K29" i="2" s="1"/>
  <c r="J48" i="1"/>
  <c r="K48" i="1" s="1"/>
  <c r="L48" i="1" s="1"/>
  <c r="L27" i="2" s="1"/>
  <c r="J45" i="1"/>
  <c r="K45" i="1" s="1"/>
  <c r="L45" i="1" s="1"/>
  <c r="L24" i="2" s="1"/>
  <c r="J42" i="1"/>
  <c r="J21" i="2" s="1"/>
  <c r="K98" i="1"/>
  <c r="K61" i="2" s="1"/>
  <c r="L98" i="1"/>
  <c r="L61" i="2" s="1"/>
  <c r="M98" i="1"/>
  <c r="M61" i="2" s="1"/>
  <c r="N98" i="1"/>
  <c r="N61" i="2" s="1"/>
  <c r="J98" i="1"/>
  <c r="G7" i="1"/>
  <c r="H7" i="1"/>
  <c r="I7" i="1"/>
  <c r="F7" i="1"/>
  <c r="J25" i="1"/>
  <c r="J22" i="1"/>
  <c r="J23" i="1" s="1"/>
  <c r="J24" i="1" s="1"/>
  <c r="J9" i="2" s="1"/>
  <c r="F131" i="1"/>
  <c r="G131" i="1"/>
  <c r="H131" i="1"/>
  <c r="I131" i="1"/>
  <c r="E131" i="1"/>
  <c r="E130" i="1"/>
  <c r="F127" i="1" s="1"/>
  <c r="F130" i="1" s="1"/>
  <c r="G127" i="1" s="1"/>
  <c r="G130" i="1" s="1"/>
  <c r="H127" i="1" s="1"/>
  <c r="H130" i="1" s="1"/>
  <c r="I127" i="1" s="1"/>
  <c r="I130" i="1" s="1"/>
  <c r="J127" i="1" s="1"/>
  <c r="J130" i="1" s="1"/>
  <c r="K127" i="1" s="1"/>
  <c r="K130" i="1" s="1"/>
  <c r="L127" i="1" s="1"/>
  <c r="L130" i="1" s="1"/>
  <c r="M127" i="1" s="1"/>
  <c r="M130" i="1" s="1"/>
  <c r="N127" i="1" s="1"/>
  <c r="N130" i="1" s="1"/>
  <c r="N29" i="1" s="1"/>
  <c r="F122" i="1"/>
  <c r="G122" i="1"/>
  <c r="H122" i="1"/>
  <c r="I122" i="1"/>
  <c r="E122" i="1"/>
  <c r="F123" i="1"/>
  <c r="G123" i="1"/>
  <c r="H123" i="1"/>
  <c r="I123" i="1"/>
  <c r="E123" i="1"/>
  <c r="F114" i="1"/>
  <c r="G114" i="1"/>
  <c r="H114" i="1"/>
  <c r="I114" i="1"/>
  <c r="F115" i="1"/>
  <c r="G115" i="1"/>
  <c r="H115" i="1"/>
  <c r="I115" i="1"/>
  <c r="F116" i="1"/>
  <c r="G116" i="1"/>
  <c r="G117" i="1" s="1"/>
  <c r="H116" i="1"/>
  <c r="I116" i="1"/>
  <c r="E116" i="1"/>
  <c r="E115" i="1"/>
  <c r="E114" i="1"/>
  <c r="F15" i="1"/>
  <c r="G15" i="1"/>
  <c r="H15" i="1"/>
  <c r="I15" i="1"/>
  <c r="E15" i="1"/>
  <c r="F12" i="1"/>
  <c r="G12" i="1"/>
  <c r="H12" i="1"/>
  <c r="I12" i="1"/>
  <c r="F13" i="1"/>
  <c r="G13" i="1"/>
  <c r="H13" i="1"/>
  <c r="I13" i="1"/>
  <c r="F14" i="1"/>
  <c r="G14" i="1"/>
  <c r="H14" i="1"/>
  <c r="I14" i="1"/>
  <c r="E14" i="1"/>
  <c r="E13" i="1"/>
  <c r="E12" i="1"/>
  <c r="F11" i="1"/>
  <c r="G11" i="1"/>
  <c r="F23" i="4" s="1"/>
  <c r="H11" i="1"/>
  <c r="G23" i="4" s="1"/>
  <c r="I11" i="1"/>
  <c r="H23" i="4" s="1"/>
  <c r="E11" i="1"/>
  <c r="F8" i="1"/>
  <c r="G8" i="1"/>
  <c r="H8" i="1"/>
  <c r="I8" i="1"/>
  <c r="E8" i="1"/>
  <c r="E9" i="1"/>
  <c r="F10" i="1"/>
  <c r="G10" i="1"/>
  <c r="H10" i="1"/>
  <c r="I10" i="1"/>
  <c r="E10" i="1"/>
  <c r="F9" i="1"/>
  <c r="G9" i="1"/>
  <c r="H9" i="1"/>
  <c r="I9" i="1"/>
  <c r="F6" i="1"/>
  <c r="G6" i="1"/>
  <c r="H6" i="1"/>
  <c r="I6" i="1"/>
  <c r="E6" i="1"/>
  <c r="G5" i="1"/>
  <c r="H5" i="1"/>
  <c r="I5" i="1"/>
  <c r="F5" i="1"/>
  <c r="I67" i="2"/>
  <c r="H67" i="2"/>
  <c r="G67" i="2"/>
  <c r="F67" i="2"/>
  <c r="E67" i="2"/>
  <c r="I66" i="2"/>
  <c r="H66" i="2"/>
  <c r="G66" i="2"/>
  <c r="F66" i="2"/>
  <c r="E66" i="2"/>
  <c r="I65" i="2"/>
  <c r="H65" i="2"/>
  <c r="G65" i="2"/>
  <c r="F65" i="2"/>
  <c r="E65" i="2"/>
  <c r="I64" i="2"/>
  <c r="H64" i="2"/>
  <c r="G64" i="2"/>
  <c r="F64" i="2"/>
  <c r="E64" i="2"/>
  <c r="I63" i="2"/>
  <c r="H63" i="2"/>
  <c r="G63" i="2"/>
  <c r="F63" i="2"/>
  <c r="E63" i="2"/>
  <c r="I62" i="2"/>
  <c r="H62" i="2"/>
  <c r="G62" i="2"/>
  <c r="F62" i="2"/>
  <c r="E62" i="2"/>
  <c r="I61" i="2"/>
  <c r="H61" i="2"/>
  <c r="G61" i="2"/>
  <c r="F61" i="2"/>
  <c r="E61" i="2"/>
  <c r="I60" i="2"/>
  <c r="H60" i="2"/>
  <c r="G60" i="2"/>
  <c r="F60" i="2"/>
  <c r="E60" i="2"/>
  <c r="I59" i="2"/>
  <c r="H59" i="2"/>
  <c r="G59" i="2"/>
  <c r="F59" i="2"/>
  <c r="E59" i="2"/>
  <c r="I58" i="2"/>
  <c r="H38" i="4" s="1"/>
  <c r="H58" i="2"/>
  <c r="G38" i="4" s="1"/>
  <c r="G58" i="2"/>
  <c r="F38" i="4" s="1"/>
  <c r="F58" i="2"/>
  <c r="E58" i="2"/>
  <c r="I57" i="2"/>
  <c r="H57" i="2"/>
  <c r="G57" i="2"/>
  <c r="F57" i="2"/>
  <c r="E57" i="2"/>
  <c r="I56" i="2"/>
  <c r="H39" i="4" s="1"/>
  <c r="H56" i="2"/>
  <c r="G39" i="4" s="1"/>
  <c r="G56" i="2"/>
  <c r="F39" i="4" s="1"/>
  <c r="F56" i="2"/>
  <c r="E56" i="2"/>
  <c r="I55" i="2"/>
  <c r="H55" i="2"/>
  <c r="G55" i="2"/>
  <c r="F55" i="2"/>
  <c r="E55" i="2"/>
  <c r="I54" i="2"/>
  <c r="H20" i="4" s="1"/>
  <c r="H54" i="2"/>
  <c r="G20" i="4" s="1"/>
  <c r="G54" i="2"/>
  <c r="F20" i="4" s="1"/>
  <c r="F37" i="4" s="1"/>
  <c r="F54" i="2"/>
  <c r="E54" i="2"/>
  <c r="I53" i="2"/>
  <c r="H53" i="2"/>
  <c r="G53" i="2"/>
  <c r="F53" i="2"/>
  <c r="E53" i="2"/>
  <c r="I46" i="2"/>
  <c r="H46" i="2"/>
  <c r="G46" i="2"/>
  <c r="F46" i="2"/>
  <c r="E46" i="2"/>
  <c r="I45" i="2"/>
  <c r="H45" i="2"/>
  <c r="G45" i="2"/>
  <c r="F45" i="2"/>
  <c r="E45" i="2"/>
  <c r="I44" i="2"/>
  <c r="H44" i="2"/>
  <c r="G44" i="2"/>
  <c r="F44" i="2"/>
  <c r="E44" i="2"/>
  <c r="I43" i="2"/>
  <c r="H43" i="2"/>
  <c r="G43" i="2"/>
  <c r="F43" i="2"/>
  <c r="E43" i="2"/>
  <c r="I38" i="2"/>
  <c r="H38" i="2"/>
  <c r="G38" i="2"/>
  <c r="F38" i="2"/>
  <c r="E38" i="2"/>
  <c r="I37" i="2"/>
  <c r="D85" i="4" s="1"/>
  <c r="D86" i="4" s="1"/>
  <c r="H37" i="2"/>
  <c r="G37" i="2"/>
  <c r="F37" i="2"/>
  <c r="E37" i="2"/>
  <c r="I35" i="2"/>
  <c r="H35" i="2"/>
  <c r="G35" i="2"/>
  <c r="F35" i="2"/>
  <c r="E35" i="2"/>
  <c r="I34" i="2"/>
  <c r="H34" i="2"/>
  <c r="G34" i="2"/>
  <c r="F34" i="2"/>
  <c r="E34" i="2"/>
  <c r="I29" i="2"/>
  <c r="H29" i="2"/>
  <c r="G29" i="2"/>
  <c r="F29" i="2"/>
  <c r="E29" i="2"/>
  <c r="I28" i="2"/>
  <c r="H28" i="2"/>
  <c r="G28" i="2"/>
  <c r="F28" i="2"/>
  <c r="E28" i="2"/>
  <c r="I27" i="2"/>
  <c r="H27" i="2"/>
  <c r="G27" i="2"/>
  <c r="F27" i="2"/>
  <c r="E27" i="2"/>
  <c r="I26" i="2"/>
  <c r="H26" i="2"/>
  <c r="G26" i="2"/>
  <c r="F26" i="2"/>
  <c r="E26" i="2"/>
  <c r="I24" i="2"/>
  <c r="H24" i="2"/>
  <c r="G24" i="2"/>
  <c r="F24" i="2"/>
  <c r="E24" i="2"/>
  <c r="I23" i="2"/>
  <c r="H23" i="2"/>
  <c r="G23" i="2"/>
  <c r="F23" i="2"/>
  <c r="E23" i="2"/>
  <c r="I22" i="2"/>
  <c r="H22" i="2"/>
  <c r="G22" i="2"/>
  <c r="F22" i="2"/>
  <c r="E22" i="2"/>
  <c r="I21" i="2"/>
  <c r="H21" i="2"/>
  <c r="G21" i="2"/>
  <c r="F21" i="2"/>
  <c r="E21" i="2"/>
  <c r="I20" i="2"/>
  <c r="I68" i="4" s="1"/>
  <c r="I69" i="4" s="1"/>
  <c r="I74" i="4" s="1"/>
  <c r="H20" i="2"/>
  <c r="G20" i="2"/>
  <c r="F20" i="2"/>
  <c r="E20" i="2"/>
  <c r="I16" i="2"/>
  <c r="H16" i="2"/>
  <c r="G16" i="2"/>
  <c r="F16" i="2"/>
  <c r="E16" i="2"/>
  <c r="I15" i="2"/>
  <c r="H24" i="4" s="1"/>
  <c r="H35" i="4" s="1"/>
  <c r="H15" i="2"/>
  <c r="G24" i="4" s="1"/>
  <c r="G35" i="4" s="1"/>
  <c r="G15" i="2"/>
  <c r="F24" i="4" s="1"/>
  <c r="F35" i="4" s="1"/>
  <c r="F15" i="2"/>
  <c r="E15" i="2"/>
  <c r="I14" i="2"/>
  <c r="H14" i="2"/>
  <c r="G14" i="2"/>
  <c r="F14" i="2"/>
  <c r="E14" i="2"/>
  <c r="I13" i="2"/>
  <c r="H13" i="2"/>
  <c r="G13" i="2"/>
  <c r="F13" i="2"/>
  <c r="E13" i="2"/>
  <c r="I12" i="2"/>
  <c r="D83" i="4" s="1"/>
  <c r="D87" i="4" s="1"/>
  <c r="H12" i="2"/>
  <c r="G12" i="2"/>
  <c r="F12" i="2"/>
  <c r="E12" i="2"/>
  <c r="I10" i="2"/>
  <c r="H17" i="4" s="1"/>
  <c r="H10" i="2"/>
  <c r="G17" i="4" s="1"/>
  <c r="G10" i="2"/>
  <c r="F17" i="4" s="1"/>
  <c r="F10" i="2"/>
  <c r="E10" i="2"/>
  <c r="I9" i="2"/>
  <c r="H9" i="2"/>
  <c r="G9" i="2"/>
  <c r="F9" i="2"/>
  <c r="E9" i="2"/>
  <c r="I8" i="2"/>
  <c r="H14" i="4" s="1"/>
  <c r="H8" i="2"/>
  <c r="G14" i="4" s="1"/>
  <c r="G8" i="2"/>
  <c r="F14" i="4" s="1"/>
  <c r="F8" i="2"/>
  <c r="E8" i="2"/>
  <c r="I7" i="2"/>
  <c r="H13" i="4" s="1"/>
  <c r="H7" i="2"/>
  <c r="G13" i="4" s="1"/>
  <c r="G7" i="2"/>
  <c r="F13" i="4" s="1"/>
  <c r="F7" i="2"/>
  <c r="E7" i="2"/>
  <c r="I108" i="1"/>
  <c r="H108" i="1"/>
  <c r="G108" i="1"/>
  <c r="F108" i="1"/>
  <c r="E108" i="1"/>
  <c r="I76" i="1"/>
  <c r="H76" i="1"/>
  <c r="G76" i="1"/>
  <c r="F76" i="1"/>
  <c r="E76" i="1"/>
  <c r="I66" i="1"/>
  <c r="H66" i="1"/>
  <c r="G66" i="1"/>
  <c r="F66" i="1"/>
  <c r="E66" i="1"/>
  <c r="I28" i="1"/>
  <c r="I11" i="2" s="1"/>
  <c r="H28" i="1"/>
  <c r="H11" i="2" s="1"/>
  <c r="G28" i="1"/>
  <c r="G11" i="2" s="1"/>
  <c r="F28" i="1"/>
  <c r="F11" i="2" s="1"/>
  <c r="E28" i="1"/>
  <c r="E11" i="2" s="1"/>
  <c r="K99" i="1" l="1"/>
  <c r="L99" i="1" s="1"/>
  <c r="M99" i="1" s="1"/>
  <c r="N99" i="1" s="1"/>
  <c r="J103" i="1"/>
  <c r="J63" i="2" s="1"/>
  <c r="K63" i="1"/>
  <c r="K131" i="1" s="1"/>
  <c r="H9" i="4"/>
  <c r="G37" i="4"/>
  <c r="G11" i="4"/>
  <c r="F8" i="4"/>
  <c r="H37" i="4"/>
  <c r="H11" i="4"/>
  <c r="K27" i="2"/>
  <c r="D82" i="4"/>
  <c r="D88" i="4"/>
  <c r="H8" i="4"/>
  <c r="F9" i="4"/>
  <c r="G8" i="4"/>
  <c r="G9" i="4"/>
  <c r="J61" i="2"/>
  <c r="N103" i="1"/>
  <c r="N63" i="2" s="1"/>
  <c r="J63" i="1"/>
  <c r="J131" i="1" s="1"/>
  <c r="K62" i="2"/>
  <c r="J38" i="2"/>
  <c r="K38" i="2"/>
  <c r="J88" i="1"/>
  <c r="J24" i="2"/>
  <c r="K24" i="2"/>
  <c r="K88" i="1"/>
  <c r="L88" i="1"/>
  <c r="J27" i="2"/>
  <c r="J29" i="2"/>
  <c r="G15" i="4"/>
  <c r="G7" i="4"/>
  <c r="J15" i="1"/>
  <c r="J94" i="1" s="1"/>
  <c r="F15" i="4"/>
  <c r="J43" i="1"/>
  <c r="J44" i="1"/>
  <c r="J7" i="2"/>
  <c r="I13" i="4" s="1"/>
  <c r="H7" i="4"/>
  <c r="H15" i="4"/>
  <c r="J27" i="1"/>
  <c r="J28" i="1" s="1"/>
  <c r="J11" i="2" s="1"/>
  <c r="J58" i="1"/>
  <c r="J8" i="2"/>
  <c r="I14" i="4" s="1"/>
  <c r="N63" i="1"/>
  <c r="K37" i="2"/>
  <c r="M63" i="1"/>
  <c r="N12" i="2"/>
  <c r="L63" i="1"/>
  <c r="K103" i="1"/>
  <c r="K63" i="2" s="1"/>
  <c r="L103" i="1"/>
  <c r="L63" i="2" s="1"/>
  <c r="N62" i="2"/>
  <c r="M103" i="1"/>
  <c r="M63" i="2" s="1"/>
  <c r="M62" i="2"/>
  <c r="L62" i="2"/>
  <c r="K71" i="1"/>
  <c r="K44" i="2" s="1"/>
  <c r="M65" i="1"/>
  <c r="N65" i="1" s="1"/>
  <c r="K59" i="1"/>
  <c r="K35" i="2" s="1"/>
  <c r="L61" i="1"/>
  <c r="M61" i="1" s="1"/>
  <c r="N61" i="1" s="1"/>
  <c r="K42" i="1"/>
  <c r="M64" i="1"/>
  <c r="M60" i="1"/>
  <c r="N60" i="1" s="1"/>
  <c r="L51" i="1"/>
  <c r="M48" i="1"/>
  <c r="M45" i="1"/>
  <c r="J9" i="1"/>
  <c r="K9" i="1" s="1"/>
  <c r="L9" i="1" s="1"/>
  <c r="L29" i="1"/>
  <c r="M29" i="1"/>
  <c r="J29" i="1"/>
  <c r="K29" i="1"/>
  <c r="K25" i="1"/>
  <c r="K22" i="1"/>
  <c r="E117" i="1"/>
  <c r="E118" i="1" s="1"/>
  <c r="I117" i="1"/>
  <c r="H117" i="1"/>
  <c r="H118" i="1" s="1"/>
  <c r="F117" i="1"/>
  <c r="G118" i="1" s="1"/>
  <c r="E124" i="1"/>
  <c r="F121" i="1" s="1"/>
  <c r="F124" i="1" s="1"/>
  <c r="G121" i="1" s="1"/>
  <c r="G124" i="1" s="1"/>
  <c r="H121" i="1" s="1"/>
  <c r="H124" i="1" s="1"/>
  <c r="I121" i="1" s="1"/>
  <c r="I124" i="1" s="1"/>
  <c r="J121" i="1" s="1"/>
  <c r="E36" i="2"/>
  <c r="E39" i="2" s="1"/>
  <c r="I36" i="2"/>
  <c r="I39" i="2" s="1"/>
  <c r="G25" i="2"/>
  <c r="G30" i="2" s="1"/>
  <c r="H68" i="2"/>
  <c r="H47" i="2"/>
  <c r="F68" i="2"/>
  <c r="H25" i="2"/>
  <c r="H30" i="2" s="1"/>
  <c r="G36" i="2"/>
  <c r="G39" i="2" s="1"/>
  <c r="F36" i="2"/>
  <c r="F39" i="2" s="1"/>
  <c r="E47" i="2"/>
  <c r="I47" i="2"/>
  <c r="F47" i="2"/>
  <c r="F25" i="2"/>
  <c r="F30" i="2" s="1"/>
  <c r="E25" i="2"/>
  <c r="E30" i="2" s="1"/>
  <c r="I25" i="2"/>
  <c r="I30" i="2" s="1"/>
  <c r="G47" i="2"/>
  <c r="E68" i="2"/>
  <c r="I68" i="2"/>
  <c r="H36" i="2"/>
  <c r="H39" i="2" s="1"/>
  <c r="G68" i="2"/>
  <c r="D62" i="4" l="1"/>
  <c r="I8" i="4"/>
  <c r="J37" i="2"/>
  <c r="N64" i="1"/>
  <c r="N38" i="2" s="1"/>
  <c r="M38" i="2"/>
  <c r="M51" i="1"/>
  <c r="L29" i="2"/>
  <c r="N45" i="1"/>
  <c r="M24" i="2"/>
  <c r="M88" i="1"/>
  <c r="N48" i="1"/>
  <c r="N27" i="2" s="1"/>
  <c r="M27" i="2"/>
  <c r="L42" i="1"/>
  <c r="L21" i="2" s="1"/>
  <c r="K21" i="2"/>
  <c r="J34" i="2"/>
  <c r="J36" i="2" s="1"/>
  <c r="J39" i="2" s="1"/>
  <c r="J89" i="1"/>
  <c r="J115" i="1"/>
  <c r="J23" i="2"/>
  <c r="J87" i="1"/>
  <c r="J122" i="1"/>
  <c r="J96" i="1"/>
  <c r="J60" i="2" s="1"/>
  <c r="J58" i="2"/>
  <c r="I38" i="4" s="1"/>
  <c r="L22" i="1"/>
  <c r="K27" i="1"/>
  <c r="K10" i="2" s="1"/>
  <c r="J17" i="4" s="1"/>
  <c r="K7" i="2"/>
  <c r="J13" i="4" s="1"/>
  <c r="K23" i="1"/>
  <c r="K43" i="1"/>
  <c r="K15" i="1"/>
  <c r="K94" i="1" s="1"/>
  <c r="J114" i="1"/>
  <c r="J22" i="2"/>
  <c r="J86" i="1"/>
  <c r="J62" i="1"/>
  <c r="J66" i="1" s="1"/>
  <c r="J26" i="1"/>
  <c r="J10" i="2"/>
  <c r="I17" i="4" s="1"/>
  <c r="I9" i="4" s="1"/>
  <c r="K24" i="1"/>
  <c r="H21" i="4"/>
  <c r="I7" i="4"/>
  <c r="I15" i="4"/>
  <c r="F21" i="4"/>
  <c r="G21" i="4"/>
  <c r="J31" i="1"/>
  <c r="J14" i="2" s="1"/>
  <c r="J12" i="2"/>
  <c r="N37" i="2"/>
  <c r="N131" i="1"/>
  <c r="M12" i="2"/>
  <c r="M37" i="2"/>
  <c r="M131" i="1"/>
  <c r="K12" i="2"/>
  <c r="L12" i="2"/>
  <c r="L131" i="1"/>
  <c r="L37" i="2"/>
  <c r="L25" i="1"/>
  <c r="K26" i="1"/>
  <c r="L71" i="1"/>
  <c r="L44" i="2" s="1"/>
  <c r="L59" i="1"/>
  <c r="L35" i="2" s="1"/>
  <c r="M42" i="1"/>
  <c r="M9" i="1"/>
  <c r="N9" i="1" s="1"/>
  <c r="J123" i="1"/>
  <c r="F118" i="1"/>
  <c r="I118" i="1"/>
  <c r="I48" i="2"/>
  <c r="I49" i="2" s="1"/>
  <c r="E48" i="2"/>
  <c r="E49" i="2" s="1"/>
  <c r="H48" i="2"/>
  <c r="H49" i="2" s="1"/>
  <c r="F48" i="2"/>
  <c r="F49" i="2" s="1"/>
  <c r="G48" i="2"/>
  <c r="G49" i="2" s="1"/>
  <c r="G34" i="4" l="1"/>
  <c r="G36" i="4" s="1"/>
  <c r="G40" i="4" s="1"/>
  <c r="G18" i="4"/>
  <c r="H34" i="4"/>
  <c r="H36" i="4" s="1"/>
  <c r="H40" i="4" s="1"/>
  <c r="H18" i="4"/>
  <c r="F34" i="4"/>
  <c r="F36" i="4" s="1"/>
  <c r="F40" i="4" s="1"/>
  <c r="F18" i="4"/>
  <c r="J9" i="4"/>
  <c r="J32" i="1"/>
  <c r="J33" i="1" s="1"/>
  <c r="N42" i="1"/>
  <c r="N21" i="2" s="1"/>
  <c r="M21" i="2"/>
  <c r="J56" i="2"/>
  <c r="I39" i="4" s="1"/>
  <c r="N88" i="1"/>
  <c r="N24" i="2"/>
  <c r="N51" i="1"/>
  <c r="N29" i="2" s="1"/>
  <c r="M29" i="2"/>
  <c r="J7" i="4"/>
  <c r="I21" i="4"/>
  <c r="K122" i="1"/>
  <c r="K96" i="1"/>
  <c r="K60" i="2" s="1"/>
  <c r="K58" i="2"/>
  <c r="J38" i="4" s="1"/>
  <c r="K28" i="1"/>
  <c r="K9" i="2"/>
  <c r="K86" i="1"/>
  <c r="K22" i="2"/>
  <c r="K114" i="1"/>
  <c r="M22" i="1"/>
  <c r="L15" i="1"/>
  <c r="L94" i="1" s="1"/>
  <c r="L27" i="1"/>
  <c r="L10" i="2" s="1"/>
  <c r="K17" i="4" s="1"/>
  <c r="L7" i="2"/>
  <c r="K13" i="4" s="1"/>
  <c r="L23" i="1"/>
  <c r="L43" i="1"/>
  <c r="K8" i="2"/>
  <c r="J14" i="4" s="1"/>
  <c r="K58" i="1"/>
  <c r="K44" i="1"/>
  <c r="J15" i="2"/>
  <c r="I24" i="4" s="1"/>
  <c r="I35" i="4" s="1"/>
  <c r="M25" i="1"/>
  <c r="M71" i="1"/>
  <c r="M44" i="2" s="1"/>
  <c r="M59" i="1"/>
  <c r="M35" i="2" s="1"/>
  <c r="I34" i="4" l="1"/>
  <c r="K9" i="4"/>
  <c r="L26" i="1"/>
  <c r="I36" i="4"/>
  <c r="J15" i="4"/>
  <c r="J21" i="4" s="1"/>
  <c r="J8" i="4"/>
  <c r="L8" i="2"/>
  <c r="K14" i="4" s="1"/>
  <c r="L58" i="1"/>
  <c r="L44" i="1"/>
  <c r="K7" i="4"/>
  <c r="K11" i="2"/>
  <c r="K31" i="1"/>
  <c r="K23" i="2"/>
  <c r="K115" i="1"/>
  <c r="K87" i="1"/>
  <c r="L24" i="1"/>
  <c r="M43" i="1"/>
  <c r="M15" i="1"/>
  <c r="M94" i="1" s="1"/>
  <c r="M27" i="1"/>
  <c r="M10" i="2" s="1"/>
  <c r="L17" i="4" s="1"/>
  <c r="M7" i="2"/>
  <c r="L13" i="4" s="1"/>
  <c r="N22" i="1"/>
  <c r="M23" i="1"/>
  <c r="K116" i="1"/>
  <c r="K34" i="2"/>
  <c r="K36" i="2" s="1"/>
  <c r="K39" i="2" s="1"/>
  <c r="K89" i="1"/>
  <c r="K62" i="1"/>
  <c r="K66" i="1" s="1"/>
  <c r="L86" i="1"/>
  <c r="L114" i="1"/>
  <c r="L22" i="2"/>
  <c r="L96" i="1"/>
  <c r="L60" i="2" s="1"/>
  <c r="L58" i="2"/>
  <c r="K38" i="4" s="1"/>
  <c r="L122" i="1"/>
  <c r="J80" i="1"/>
  <c r="J73" i="1"/>
  <c r="J16" i="2"/>
  <c r="N25" i="1"/>
  <c r="N71" i="1"/>
  <c r="N44" i="2" s="1"/>
  <c r="N59" i="1"/>
  <c r="N35" i="2" s="1"/>
  <c r="J34" i="4" l="1"/>
  <c r="L9" i="4"/>
  <c r="M26" i="1"/>
  <c r="K15" i="4"/>
  <c r="K21" i="4" s="1"/>
  <c r="K8" i="4"/>
  <c r="K56" i="2"/>
  <c r="J39" i="4" s="1"/>
  <c r="K117" i="1"/>
  <c r="M24" i="1"/>
  <c r="M8" i="2"/>
  <c r="L14" i="4" s="1"/>
  <c r="L8" i="4" s="1"/>
  <c r="M58" i="1"/>
  <c r="M44" i="1"/>
  <c r="M58" i="2"/>
  <c r="L38" i="4" s="1"/>
  <c r="M122" i="1"/>
  <c r="M96" i="1"/>
  <c r="M60" i="2" s="1"/>
  <c r="N7" i="2"/>
  <c r="M13" i="4" s="1"/>
  <c r="N13" i="4" s="1"/>
  <c r="N17" i="4" s="1"/>
  <c r="N43" i="1"/>
  <c r="N15" i="1"/>
  <c r="N94" i="1" s="1"/>
  <c r="N27" i="1"/>
  <c r="N10" i="2" s="1"/>
  <c r="M17" i="4" s="1"/>
  <c r="N23" i="1"/>
  <c r="M86" i="1"/>
  <c r="M114" i="1"/>
  <c r="M22" i="2"/>
  <c r="L7" i="4"/>
  <c r="L9" i="2"/>
  <c r="L28" i="1"/>
  <c r="K14" i="2"/>
  <c r="K32" i="1"/>
  <c r="K15" i="2" s="1"/>
  <c r="J24" i="4" s="1"/>
  <c r="J35" i="4" s="1"/>
  <c r="J36" i="4" s="1"/>
  <c r="L23" i="2"/>
  <c r="L115" i="1"/>
  <c r="L87" i="1"/>
  <c r="L116" i="1"/>
  <c r="L34" i="2"/>
  <c r="L36" i="2" s="1"/>
  <c r="L39" i="2" s="1"/>
  <c r="L89" i="1"/>
  <c r="L62" i="1"/>
  <c r="L66" i="1" s="1"/>
  <c r="J82" i="1"/>
  <c r="J55" i="2" s="1"/>
  <c r="J53" i="2"/>
  <c r="J46" i="2"/>
  <c r="J47" i="2" s="1"/>
  <c r="J48" i="2" s="1"/>
  <c r="J74" i="1"/>
  <c r="J75" i="1" s="1"/>
  <c r="L56" i="2" l="1"/>
  <c r="K39" i="4" s="1"/>
  <c r="K34" i="4"/>
  <c r="L117" i="1"/>
  <c r="L118" i="1" s="1"/>
  <c r="M9" i="4"/>
  <c r="L15" i="4"/>
  <c r="L21" i="4" s="1"/>
  <c r="K33" i="1"/>
  <c r="K73" i="1" s="1"/>
  <c r="K46" i="2" s="1"/>
  <c r="K47" i="2" s="1"/>
  <c r="K48" i="2" s="1"/>
  <c r="N26" i="1"/>
  <c r="M9" i="2"/>
  <c r="M28" i="1"/>
  <c r="N58" i="2"/>
  <c r="M38" i="4" s="1"/>
  <c r="N122" i="1"/>
  <c r="N96" i="1"/>
  <c r="N60" i="2" s="1"/>
  <c r="M115" i="1"/>
  <c r="M87" i="1"/>
  <c r="M23" i="2"/>
  <c r="N114" i="1"/>
  <c r="N22" i="2"/>
  <c r="N86" i="1"/>
  <c r="M34" i="2"/>
  <c r="M36" i="2" s="1"/>
  <c r="M39" i="2" s="1"/>
  <c r="M89" i="1"/>
  <c r="M116" i="1"/>
  <c r="M62" i="1"/>
  <c r="M66" i="1" s="1"/>
  <c r="L11" i="2"/>
  <c r="L31" i="1"/>
  <c r="N24" i="1"/>
  <c r="N44" i="1"/>
  <c r="N8" i="2"/>
  <c r="M14" i="4" s="1"/>
  <c r="N58" i="1"/>
  <c r="M7" i="4"/>
  <c r="L34" i="4" l="1"/>
  <c r="M15" i="4"/>
  <c r="N14" i="4"/>
  <c r="N15" i="4" s="1"/>
  <c r="M8" i="4"/>
  <c r="M56" i="2"/>
  <c r="L39" i="4" s="1"/>
  <c r="K74" i="1"/>
  <c r="K75" i="1" s="1"/>
  <c r="K16" i="2"/>
  <c r="K80" i="1"/>
  <c r="K53" i="2" s="1"/>
  <c r="M117" i="1"/>
  <c r="M118" i="1" s="1"/>
  <c r="M21" i="4"/>
  <c r="L32" i="1"/>
  <c r="L15" i="2" s="1"/>
  <c r="K24" i="4" s="1"/>
  <c r="K35" i="4" s="1"/>
  <c r="K36" i="4" s="1"/>
  <c r="L14" i="2"/>
  <c r="N115" i="1"/>
  <c r="N87" i="1"/>
  <c r="N23" i="2"/>
  <c r="M11" i="2"/>
  <c r="M31" i="1"/>
  <c r="N34" i="2"/>
  <c r="N36" i="2" s="1"/>
  <c r="N39" i="2" s="1"/>
  <c r="N89" i="1"/>
  <c r="N116" i="1"/>
  <c r="N62" i="1"/>
  <c r="N66" i="1" s="1"/>
  <c r="N9" i="2"/>
  <c r="N28" i="1"/>
  <c r="M34" i="4" l="1"/>
  <c r="N21" i="4"/>
  <c r="K82" i="1"/>
  <c r="K55" i="2" s="1"/>
  <c r="N56" i="2"/>
  <c r="M39" i="4" s="1"/>
  <c r="N117" i="1"/>
  <c r="N118" i="1" s="1"/>
  <c r="M14" i="2"/>
  <c r="M32" i="1"/>
  <c r="M15" i="2" s="1"/>
  <c r="L24" i="4" s="1"/>
  <c r="L35" i="4" s="1"/>
  <c r="L36" i="4" s="1"/>
  <c r="N11" i="2"/>
  <c r="N31" i="1"/>
  <c r="L33" i="1"/>
  <c r="N34" i="4" l="1"/>
  <c r="N24" i="4"/>
  <c r="N35" i="4" s="1"/>
  <c r="N14" i="2"/>
  <c r="N32" i="1"/>
  <c r="N15" i="2" s="1"/>
  <c r="M24" i="4" s="1"/>
  <c r="M35" i="4" s="1"/>
  <c r="M36" i="4" s="1"/>
  <c r="M33" i="1"/>
  <c r="L16" i="2"/>
  <c r="L80" i="1"/>
  <c r="L73" i="1"/>
  <c r="N33" i="1" l="1"/>
  <c r="N36" i="4"/>
  <c r="M80" i="1"/>
  <c r="M16" i="2"/>
  <c r="M73" i="1"/>
  <c r="L46" i="2"/>
  <c r="L47" i="2" s="1"/>
  <c r="L48" i="2" s="1"/>
  <c r="L74" i="1"/>
  <c r="L75" i="1" s="1"/>
  <c r="N16" i="2"/>
  <c r="N80" i="1"/>
  <c r="L82" i="1"/>
  <c r="L55" i="2" s="1"/>
  <c r="L53" i="2"/>
  <c r="N53" i="2" l="1"/>
  <c r="N82" i="1"/>
  <c r="N55" i="2" s="1"/>
  <c r="M46" i="2"/>
  <c r="M47" i="2" s="1"/>
  <c r="M48" i="2" s="1"/>
  <c r="N73" i="1"/>
  <c r="M74" i="1"/>
  <c r="M75" i="1" s="1"/>
  <c r="M82" i="1"/>
  <c r="M55" i="2" s="1"/>
  <c r="M53" i="2"/>
  <c r="N74" i="1" l="1"/>
  <c r="N75" i="1" s="1"/>
  <c r="N46" i="2"/>
  <c r="N47" i="2" s="1"/>
  <c r="N48" i="2" s="1"/>
  <c r="J116" i="1" l="1"/>
  <c r="J117" i="1" s="1"/>
  <c r="J81" i="1"/>
  <c r="J124" i="1"/>
  <c r="J54" i="2" l="1"/>
  <c r="I20" i="4" s="1"/>
  <c r="I18" i="4" s="1"/>
  <c r="J90" i="1"/>
  <c r="K121" i="1"/>
  <c r="K123" i="1" s="1"/>
  <c r="J47" i="1"/>
  <c r="K118" i="1"/>
  <c r="J118" i="1"/>
  <c r="I11" i="4" l="1"/>
  <c r="I37" i="4"/>
  <c r="I40" i="4" s="1"/>
  <c r="I48" i="4" s="1"/>
  <c r="I53" i="4" s="1"/>
  <c r="I55" i="4" s="1"/>
  <c r="J57" i="2"/>
  <c r="J105" i="1"/>
  <c r="J26" i="2"/>
  <c r="K124" i="1"/>
  <c r="L121" i="1" s="1"/>
  <c r="L123" i="1" s="1"/>
  <c r="K81" i="1"/>
  <c r="J107" i="1" l="1"/>
  <c r="J65" i="2"/>
  <c r="K47" i="1"/>
  <c r="K26" i="2" s="1"/>
  <c r="L124" i="1"/>
  <c r="M121" i="1" s="1"/>
  <c r="M123" i="1" s="1"/>
  <c r="L81" i="1"/>
  <c r="K54" i="2"/>
  <c r="J20" i="4" s="1"/>
  <c r="J18" i="4" s="1"/>
  <c r="K90" i="1"/>
  <c r="J37" i="4" l="1"/>
  <c r="J40" i="4" s="1"/>
  <c r="J48" i="4" s="1"/>
  <c r="J53" i="4" s="1"/>
  <c r="J55" i="4" s="1"/>
  <c r="J11" i="4"/>
  <c r="J41" i="1"/>
  <c r="K106" i="1"/>
  <c r="K66" i="2" s="1"/>
  <c r="J67" i="2"/>
  <c r="L47" i="1"/>
  <c r="L26" i="2" s="1"/>
  <c r="K105" i="1"/>
  <c r="K57" i="2"/>
  <c r="L54" i="2"/>
  <c r="K20" i="4" s="1"/>
  <c r="K18" i="4" s="1"/>
  <c r="L90" i="1"/>
  <c r="M124" i="1"/>
  <c r="N121" i="1" s="1"/>
  <c r="N123" i="1" s="1"/>
  <c r="M81" i="1"/>
  <c r="K11" i="4" l="1"/>
  <c r="K37" i="4"/>
  <c r="K40" i="4" s="1"/>
  <c r="K48" i="4" s="1"/>
  <c r="K53" i="4" s="1"/>
  <c r="K55" i="4" s="1"/>
  <c r="J108" i="1"/>
  <c r="J46" i="1"/>
  <c r="J20" i="2"/>
  <c r="N124" i="1"/>
  <c r="N47" i="1" s="1"/>
  <c r="N81" i="1"/>
  <c r="M54" i="2"/>
  <c r="L20" i="4" s="1"/>
  <c r="L18" i="4" s="1"/>
  <c r="M90" i="1"/>
  <c r="K65" i="2"/>
  <c r="K107" i="1"/>
  <c r="M47" i="1"/>
  <c r="L105" i="1"/>
  <c r="L57" i="2"/>
  <c r="L11" i="4" l="1"/>
  <c r="L37" i="4"/>
  <c r="L40" i="4" s="1"/>
  <c r="L48" i="4" s="1"/>
  <c r="L53" i="4" s="1"/>
  <c r="L55" i="4" s="1"/>
  <c r="J25" i="2"/>
  <c r="J30" i="2" s="1"/>
  <c r="J52" i="1"/>
  <c r="J76" i="1" s="1"/>
  <c r="M57" i="2"/>
  <c r="M105" i="1"/>
  <c r="K41" i="1"/>
  <c r="K108" i="1" s="1"/>
  <c r="K67" i="2"/>
  <c r="L106" i="1"/>
  <c r="L66" i="2" s="1"/>
  <c r="N54" i="2"/>
  <c r="M20" i="4" s="1"/>
  <c r="M18" i="4" s="1"/>
  <c r="N90" i="1"/>
  <c r="L65" i="2"/>
  <c r="M26" i="2"/>
  <c r="N26" i="2"/>
  <c r="M37" i="4" l="1"/>
  <c r="M40" i="4" s="1"/>
  <c r="M48" i="4" s="1"/>
  <c r="M53" i="4" s="1"/>
  <c r="N20" i="4"/>
  <c r="N18" i="4" s="1"/>
  <c r="M11" i="4"/>
  <c r="L107" i="1"/>
  <c r="L41" i="1" s="1"/>
  <c r="L108" i="1" s="1"/>
  <c r="N57" i="2"/>
  <c r="N105" i="1"/>
  <c r="K20" i="2"/>
  <c r="K46" i="1"/>
  <c r="M65" i="2"/>
  <c r="I60" i="4" l="1"/>
  <c r="M55" i="4"/>
  <c r="L67" i="2"/>
  <c r="M106" i="1"/>
  <c r="M66" i="2" s="1"/>
  <c r="N37" i="4"/>
  <c r="N40" i="4" s="1"/>
  <c r="N48" i="4" s="1"/>
  <c r="K25" i="2"/>
  <c r="K30" i="2" s="1"/>
  <c r="K52" i="1"/>
  <c r="K76" i="1" s="1"/>
  <c r="L46" i="1"/>
  <c r="L20" i="2"/>
  <c r="N65" i="2"/>
  <c r="M107" i="1" l="1"/>
  <c r="N49" i="4"/>
  <c r="N53" i="4"/>
  <c r="L25" i="2"/>
  <c r="L30" i="2" s="1"/>
  <c r="L52" i="1"/>
  <c r="L76" i="1" s="1"/>
  <c r="N54" i="4" l="1"/>
  <c r="N55" i="4" s="1"/>
  <c r="I61" i="4"/>
  <c r="I62" i="4" s="1"/>
  <c r="I73" i="4" s="1"/>
  <c r="I75" i="4" s="1"/>
  <c r="N106" i="1"/>
  <c r="M41" i="1"/>
  <c r="M67" i="2"/>
  <c r="N60" i="4" l="1"/>
  <c r="N62" i="4" s="1"/>
  <c r="M108" i="1"/>
  <c r="M46" i="1"/>
  <c r="M20" i="2"/>
  <c r="N107" i="1"/>
  <c r="N66" i="2"/>
  <c r="N67" i="2" l="1"/>
  <c r="N41" i="1"/>
  <c r="M25" i="2"/>
  <c r="M30" i="2" s="1"/>
  <c r="M52" i="1"/>
  <c r="M76" i="1" s="1"/>
  <c r="N108" i="1" l="1"/>
  <c r="N46" i="1"/>
  <c r="N20" i="2"/>
  <c r="N25" i="2" l="1"/>
  <c r="N30" i="2" s="1"/>
  <c r="N52" i="1"/>
  <c r="N76" i="1" s="1"/>
</calcChain>
</file>

<file path=xl/sharedStrings.xml><?xml version="1.0" encoding="utf-8"?>
<sst xmlns="http://schemas.openxmlformats.org/spreadsheetml/2006/main" count="429" uniqueCount="234">
  <si>
    <t>NIKE, Inc. — Full Historical Three-Statement Model</t>
  </si>
  <si>
    <t>USD $mm, except per share data; historical periods sourced from NIKE 10-Ks.</t>
  </si>
  <si>
    <t>Fiscal Year Ended May 31</t>
  </si>
  <si>
    <t>Income Statement</t>
  </si>
  <si>
    <t>Revenues</t>
  </si>
  <si>
    <t>Cost of sales</t>
  </si>
  <si>
    <t>Gross profit</t>
  </si>
  <si>
    <t>Demand creation expense</t>
  </si>
  <si>
    <t>Operating overhead expense</t>
  </si>
  <si>
    <t>Total selling and administrative expense</t>
  </si>
  <si>
    <t>Income from operations</t>
  </si>
  <si>
    <t>Interest expense (income), net</t>
  </si>
  <si>
    <t>Other (income) expense, net</t>
  </si>
  <si>
    <t>Income before income taxes</t>
  </si>
  <si>
    <t>Income tax expense</t>
  </si>
  <si>
    <t>Net income</t>
  </si>
  <si>
    <t>Basic EPS</t>
  </si>
  <si>
    <t>Diluted EPS</t>
  </si>
  <si>
    <t>Basic weighted average shares</t>
  </si>
  <si>
    <t>Diluted weighted average shares</t>
  </si>
  <si>
    <t>Balance Sheet — Assets</t>
  </si>
  <si>
    <t>Cash and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</si>
  <si>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</si>
  <si>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</si>
  <si>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</si>
  <si>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</si>
  <si>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</si>
  <si>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Property, plant and equipment, net</t>
  </si>
  <si>
    <t>Operating lease right-of-use assets, net</t>
  </si>
  <si>
    <t>Identifiable intangible assets, net</t>
  </si>
  <si>
    <t>Goodwill</t>
  </si>
  <si>
    <t>Deferred income taxes and other assets</t>
  </si>
  <si>
    <t>Total assets</t>
  </si>
  <si>
    <t>Balance Sheet — Liabilities</t>
  </si>
  <si>
    <t>Current portion of long-term debt</t>
  </si>
  <si>
    <t>Notes payable</t>
  </si>
  <si>
    <t>Accounts payable</t>
  </si>
  <si>
    <t>Current portion of operating lease liabilities</t>
  </si>
  <si>
    <t>Accrued liabilities</t>
  </si>
  <si>
    <t>Income taxes payable</t>
  </si>
  <si>
    <t>Total current liabilities</t>
  </si>
  <si>
    <t>Long-term debt</t>
  </si>
  <si>
    <t>Operating lease liabilities</t>
  </si>
  <si>
    <t>Deferred income taxes and other liabilities</t>
  </si>
  <si>
    <t>Total liabilities</t>
  </si>
  <si>
    <t>Balance Sheet — Shareholders' Equity</t>
  </si>
  <si>
    <t>Common stock</t>
  </si>
  <si>
    <t>Capital in excess of stated value</t>
  </si>
  <si>
    <t>Accumulated other comprehensive income (loss)</t>
  </si>
  <si>
    <t>Retained earnings (deficit)</t>
  </si>
  <si>
    <t>Total shareholders' equity</t>
  </si>
  <si>
    <t>Total liabilities and shareholders' equity</t>
  </si>
  <si>
    <t>Balance sheet check</t>
  </si>
  <si>
    <t>Cash Flow Statement</t>
  </si>
  <si>
    <t>Depreciation and amortization</t>
  </si>
  <si>
    <t>Deferred income taxes</t>
  </si>
  <si>
    <t>Stock-based compensation</t>
  </si>
  <si>
    <t>Impairment and other</t>
  </si>
  <si>
    <t>Net foreign currency adjustments</t>
  </si>
  <si>
    <t>(Increase) decrease in accounts receivable</t>
  </si>
  <si>
    <t>(Increase) decrease in inventories</t>
  </si>
  <si>
    <t>(Increase) decrease in prepaid expenses, ROU assets and other assets</t>
  </si>
  <si>
    <t>Increase (decrease) in accounts payable and other liabilities</t>
  </si>
  <si>
    <t>Cash provided by operations</t>
  </si>
  <si>
    <t>Purchases of short-term investments</t>
  </si>
  <si>
    <t>Maturities of short-term investments</t>
  </si>
  <si>
    <t>Sales of short-term investments</t>
  </si>
  <si>
    <t>Additions to property, plant and equipment</t>
  </si>
  <si>
    <t>Other investing activities</t>
  </si>
  <si>
    <t>Cash provided (used) by investing activities</t>
  </si>
  <si>
    <t>Increase (decrease) in notes payable, net</t>
  </si>
  <si>
    <t>Repayment of borrowings</t>
  </si>
  <si>
    <t>Proceeds from exercise of stock options and other stock issuances</t>
  </si>
  <si>
    <t>Repurchase of common stock</t>
  </si>
  <si>
    <t>Dividends — common and preferred</t>
  </si>
  <si>
    <t>Other financing activities</t>
  </si>
  <si>
    <t>Cash provided (used) by financing activities</t>
  </si>
  <si>
    <t>Effect of exchange rate changes on cash and equivalents</t>
  </si>
  <si>
    <t>Net increase (decrease) in cash and equivalents</t>
  </si>
  <si>
    <t>Cash and equivalents, beginning of year</t>
  </si>
  <si>
    <t>Cash and equivalents, end of year</t>
  </si>
  <si>
    <t>Cash flow reconciliation check</t>
  </si>
  <si>
    <t>NIKE, Inc. — Simplified Three-Statement Model</t>
  </si>
  <si>
    <t>Model Check</t>
  </si>
  <si>
    <t>Target</t>
  </si>
  <si>
    <t>USD $mm; historical data linked to Full Historical Statements. Forecast columns are intentionally blank for you to complete.</t>
  </si>
  <si>
    <t>Historical BS check</t>
  </si>
  <si>
    <t>0</t>
  </si>
  <si>
    <t>Historical cash check</t>
  </si>
  <si>
    <t>Forecast</t>
  </si>
  <si>
    <t>Revenue</t>
  </si>
  <si>
    <t>Selling and administrative expense</t>
  </si>
  <si>
    <t>Other current assets</t>
  </si>
  <si>
    <t>Intangible assets and goodwill</t>
  </si>
  <si>
    <t>Other non-current assets</t>
  </si>
  <si>
    <t>Other current liabilities</t>
  </si>
  <si>
    <t>Other non-current liabilities</t>
  </si>
  <si>
    <t>Other non-cash adjustments</t>
  </si>
  <si>
    <t>Change in net working capital and other operating items</t>
  </si>
  <si>
    <t>Cash provided by operating activities</t>
  </si>
  <si>
    <t>Capital expenditures</t>
  </si>
  <si>
    <t>Cash provided by / (used in) investing activities</t>
  </si>
  <si>
    <t>Net debt issuance / (repayment)</t>
  </si>
  <si>
    <t>Share repurchases, dividends and other financing</t>
  </si>
  <si>
    <t>Cash provided by / (used in) financing activities</t>
  </si>
  <si>
    <t>Effect of exchange rate changes</t>
  </si>
  <si>
    <t>Net change in cash</t>
  </si>
  <si>
    <t>Cash — beginning of year</t>
  </si>
  <si>
    <t>Cash — end of year</t>
  </si>
  <si>
    <t>Source Notes</t>
  </si>
  <si>
    <t>Model sheet</t>
  </si>
  <si>
    <t>Source</t>
  </si>
  <si>
    <t>Financial statement coverage</t>
  </si>
  <si>
    <t>URL</t>
  </si>
  <si>
    <t>Full Historical Statements</t>
  </si>
  <si>
    <t>NIKE FY2022 Form 10-K</t>
  </si>
  <si>
    <t>FY2021 balance sheet; FY2021–FY2022 income statement and cash flow data</t>
  </si>
  <si>
    <t>https://www.sec.gov/Archives/edgar/data/320187/000032018722000038/nke-20220531.htm</t>
  </si>
  <si>
    <t>NIKE FY2023 Form 10-K</t>
  </si>
  <si>
    <t>FY2021–FY2023 income statement and cash flow data; FY2022–FY2023 balance sheets</t>
  </si>
  <si>
    <t>https://www.sec.gov/Archives/edgar/data/320187/000032018723000039/nke-20230531.htm</t>
  </si>
  <si>
    <t>NIKE FY2025 Form 10-K</t>
  </si>
  <si>
    <t>FY2023–FY2025 income statement and cash flow data; FY2024–FY2025 balance sheets</t>
  </si>
  <si>
    <t>https://www.sec.gov/Archives/edgar/data/320187/000032018725000047/nke-20250531.htm</t>
  </si>
  <si>
    <t xml:space="preserve">Assumptions </t>
  </si>
  <si>
    <t>Tax Rate</t>
  </si>
  <si>
    <t>Accounts Payable</t>
  </si>
  <si>
    <t>Revenue Growth (%)</t>
  </si>
  <si>
    <t>COGs (% of Revenue)</t>
  </si>
  <si>
    <t>D&amp;A (% of PPE)</t>
  </si>
  <si>
    <t>Accounts Receivable (Days)</t>
  </si>
  <si>
    <t>Inventory (Days)</t>
  </si>
  <si>
    <t>Accounts Payable (Days)</t>
  </si>
  <si>
    <t>Interest (% of Debt)</t>
  </si>
  <si>
    <t>S&amp;A (% of Revenue)</t>
  </si>
  <si>
    <t xml:space="preserve">Supporting Schedule </t>
  </si>
  <si>
    <t>Working Capital Schedule</t>
  </si>
  <si>
    <t>Accounts Receivable</t>
  </si>
  <si>
    <t>Inventory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</si>
  <si>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</si>
  <si>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</si>
  <si>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</si>
  <si>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</si>
  <si>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</si>
  <si>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</si>
  <si>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</si>
  <si>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</si>
  <si>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</si>
  <si>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Debt Closing</t>
  </si>
  <si>
    <t>Interest Expense</t>
  </si>
  <si>
    <t>New Corporate Term Debt</t>
  </si>
  <si>
    <t>Repayments</t>
  </si>
  <si>
    <t>Demand creation (Growth Rate)</t>
  </si>
  <si>
    <t>Days</t>
  </si>
  <si>
    <t>CAPEX (3% of Revenue)</t>
  </si>
  <si>
    <t>Revenue Growth</t>
  </si>
  <si>
    <t>COGS</t>
  </si>
  <si>
    <t>SG&amp;A</t>
  </si>
  <si>
    <t>Depreciation</t>
  </si>
  <si>
    <t>Gross Profit</t>
  </si>
  <si>
    <t xml:space="preserve">SG&amp;A </t>
  </si>
  <si>
    <t>EBITDA</t>
  </si>
  <si>
    <t>Operating Profit</t>
  </si>
  <si>
    <t>Current Tax</t>
  </si>
  <si>
    <t xml:space="preserve">Year -2 </t>
  </si>
  <si>
    <t>Year 0</t>
  </si>
  <si>
    <t>Year 1</t>
  </si>
  <si>
    <t>Year 2</t>
  </si>
  <si>
    <t>Year 3</t>
  </si>
  <si>
    <t>Year 4</t>
  </si>
  <si>
    <t>Year 5</t>
  </si>
  <si>
    <t>Term</t>
  </si>
  <si>
    <t>(% of Revenue)</t>
  </si>
  <si>
    <t>Depreciation Growth</t>
  </si>
  <si>
    <t>Unlevered Free Cash Flow</t>
  </si>
  <si>
    <t>EBIT</t>
  </si>
  <si>
    <t>Current Taxes</t>
  </si>
  <si>
    <t>NOPAT</t>
  </si>
  <si>
    <t xml:space="preserve">D&amp;A </t>
  </si>
  <si>
    <t>Capital Expenditure</t>
  </si>
  <si>
    <t>Cash from Working Capital</t>
  </si>
  <si>
    <t>UNDISCOUNTED CASH FLOW</t>
  </si>
  <si>
    <t>Discrete Forecast</t>
  </si>
  <si>
    <t>Terminal Value</t>
  </si>
  <si>
    <t>ASSUMPTIONS</t>
  </si>
  <si>
    <t>First Year of Forecast</t>
  </si>
  <si>
    <t>Terminal Multiple</t>
  </si>
  <si>
    <t>Discount Rate</t>
  </si>
  <si>
    <t>ENTERPRISE VALUE</t>
  </si>
  <si>
    <t>PV of Discrete</t>
  </si>
  <si>
    <t xml:space="preserve">PV of Terminal </t>
  </si>
  <si>
    <t>Enterprise Value</t>
  </si>
  <si>
    <t>COST OF EQUITY</t>
  </si>
  <si>
    <t>Risk-free rate (US 10y)</t>
  </si>
  <si>
    <t>Beta</t>
  </si>
  <si>
    <t>Market risk premium</t>
  </si>
  <si>
    <t>CAPM</t>
  </si>
  <si>
    <t>AFTER-TAX COST OF DEBT</t>
  </si>
  <si>
    <t>Interest Rate on Debt</t>
  </si>
  <si>
    <t>After-tax Cost of Debt</t>
  </si>
  <si>
    <t xml:space="preserve">MARKET VALUE OF EQUITY AND DEBT </t>
  </si>
  <si>
    <t xml:space="preserve">Shares Outstanding </t>
  </si>
  <si>
    <t xml:space="preserve">Market Value of Equity </t>
  </si>
  <si>
    <t>Weight</t>
  </si>
  <si>
    <t xml:space="preserve">Interest Expense </t>
  </si>
  <si>
    <t>Current Cost of Debt</t>
  </si>
  <si>
    <t>Total Debt</t>
  </si>
  <si>
    <t>Market Value of Debt</t>
  </si>
  <si>
    <t>EQUITY VALUE</t>
  </si>
  <si>
    <t xml:space="preserve">Less: Net Debt </t>
  </si>
  <si>
    <t xml:space="preserve">Equity Value </t>
  </si>
  <si>
    <t>EQUITY VALUE PER SHARE</t>
  </si>
  <si>
    <t>AVERAGE MATURITY</t>
  </si>
  <si>
    <t xml:space="preserve">Outstanding </t>
  </si>
  <si>
    <t>Maturity</t>
  </si>
  <si>
    <t>November 1 2026</t>
  </si>
  <si>
    <t>March 27 2027</t>
  </si>
  <si>
    <t>March 27 2030</t>
  </si>
  <si>
    <t>March 27 2040</t>
  </si>
  <si>
    <t>May 1 2043</t>
  </si>
  <si>
    <t>November 1 2045</t>
  </si>
  <si>
    <t>November 1 2046</t>
  </si>
  <si>
    <t>March 27 2050</t>
  </si>
  <si>
    <t>YTM</t>
  </si>
  <si>
    <t>NET DEBT</t>
  </si>
  <si>
    <t>Short-term debt</t>
  </si>
  <si>
    <t>Cash and cash equivalent</t>
  </si>
  <si>
    <t>Net debt</t>
  </si>
  <si>
    <t>UNLEVERED FREE CASH FLOW</t>
  </si>
  <si>
    <t>DISCOUNTED CASH FLOW SCHEDULE</t>
  </si>
  <si>
    <t>Total Cash Flow</t>
  </si>
  <si>
    <r>
      <t>Average Maturity (</t>
    </r>
    <r>
      <rPr>
        <i/>
        <sz val="12"/>
        <color theme="1"/>
        <rFont val="Arial"/>
        <family val="2"/>
      </rPr>
      <t>years)</t>
    </r>
  </si>
  <si>
    <t>Total</t>
  </si>
  <si>
    <r>
      <t xml:space="preserve">Share price </t>
    </r>
    <r>
      <rPr>
        <i/>
        <sz val="12"/>
        <color theme="1"/>
        <rFont val="Arial"/>
        <family val="2"/>
      </rPr>
      <t>(16/07/26)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</si>
</sst>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[Red]\(#,##0\);\-"/>
    <numFmt numFmtId="165" formatCode="\$0.00;[Red]\(\$0.00\);\-"/>
    <numFmt numFmtId="166" formatCode="#,##0.0;[Red]\(#,##0.0\);\-"/>
    <numFmt numFmtId="176" formatCode="_-* #,##0_-;\(#,##0\)_-;_-* &quot;-&quot;_-;_-@"/>
    <numFmt numFmtId="183" formatCode="_(* #,##0_);_(* \(#,##0\);_(* &quot;-&quot;??_);_(@_)"/>
  </numFmts>
  <fonts count="29">
    <font>
      <sz val="11"/>
      <name val="Carlito"/>
    </font>
    <font>
      <b/>
      <sz val="14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name val="Carlito"/>
    </font>
    <font>
      <b/>
      <sz val="11"/>
      <color rgb="FF0000FF"/>
      <name val="Carlito"/>
    </font>
    <font>
      <sz val="11"/>
      <color rgb="FF008000"/>
      <name val="Carlito"/>
    </font>
    <font>
      <b/>
      <sz val="11"/>
      <color rgb="FF008000"/>
      <name val="Carlito"/>
    </font>
    <font>
      <b/>
      <sz val="11"/>
      <color rgb="FF000000"/>
      <name val="Carlito"/>
    </font>
    <font>
      <sz val="11"/>
      <name val="Carlito"/>
    </font>
    <font>
      <b/>
      <i/>
      <sz val="11"/>
      <color rgb="FF666666"/>
      <name val="Carlito"/>
    </font>
    <font>
      <i/>
      <sz val="11"/>
      <color theme="1"/>
      <name val="Carlito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FF"/>
      <name val="Arial Narrow"/>
      <family val="2"/>
    </font>
    <font>
      <sz val="11"/>
      <color theme="1"/>
      <name val="Calibri"/>
      <family val="2"/>
    </font>
    <font>
      <sz val="11"/>
      <color theme="1"/>
      <name val="Carlito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color theme="2"/>
      <name val="Arial"/>
      <family val="2"/>
    </font>
    <font>
      <b/>
      <sz val="11"/>
      <color theme="2"/>
      <name val="Arial"/>
      <family val="2"/>
    </font>
    <font>
      <b/>
      <sz val="12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164" fontId="4" fillId="0" borderId="0" xfId="0" applyNumberFormat="1" applyFont="1"/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0" fontId="5" fillId="0" borderId="2" xfId="0" applyFont="1" applyBorder="1"/>
    <xf numFmtId="164" fontId="6" fillId="0" borderId="2" xfId="0" applyNumberFormat="1" applyFont="1" applyBorder="1"/>
    <xf numFmtId="164" fontId="5" fillId="0" borderId="2" xfId="0" applyNumberFormat="1" applyFont="1" applyBorder="1"/>
    <xf numFmtId="165" fontId="4" fillId="0" borderId="0" xfId="0" applyNumberFormat="1" applyFont="1"/>
    <xf numFmtId="165" fontId="0" fillId="0" borderId="0" xfId="0" applyNumberFormat="1"/>
    <xf numFmtId="166" fontId="4" fillId="0" borderId="0" xfId="0" applyNumberFormat="1" applyFont="1"/>
    <xf numFmtId="166" fontId="0" fillId="0" borderId="0" xfId="0" applyNumberFormat="1"/>
    <xf numFmtId="164" fontId="7" fillId="0" borderId="0" xfId="0" applyNumberFormat="1" applyFont="1"/>
    <xf numFmtId="164" fontId="4" fillId="3" borderId="0" xfId="0" applyNumberFormat="1" applyFont="1" applyFill="1"/>
    <xf numFmtId="164" fontId="8" fillId="0" borderId="2" xfId="0" applyNumberFormat="1" applyFont="1" applyBorder="1"/>
    <xf numFmtId="0" fontId="9" fillId="4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wrapText="1"/>
    </xf>
    <xf numFmtId="0" fontId="11" fillId="0" borderId="0" xfId="0" applyFont="1"/>
    <xf numFmtId="0" fontId="3" fillId="5" borderId="0" xfId="0" applyFont="1" applyFill="1" applyAlignment="1">
      <alignment horizontal="right"/>
    </xf>
    <xf numFmtId="0" fontId="12" fillId="0" borderId="0" xfId="0" applyFont="1"/>
    <xf numFmtId="10" fontId="12" fillId="0" borderId="0" xfId="2" applyNumberFormat="1" applyFont="1"/>
    <xf numFmtId="1" fontId="12" fillId="0" borderId="0" xfId="0" applyNumberFormat="1" applyFont="1"/>
    <xf numFmtId="164" fontId="12" fillId="0" borderId="0" xfId="0" applyNumberFormat="1" applyFont="1"/>
    <xf numFmtId="176" fontId="13" fillId="0" borderId="0" xfId="0" applyNumberFormat="1" applyFont="1"/>
    <xf numFmtId="176" fontId="14" fillId="0" borderId="0" xfId="0" applyNumberFormat="1" applyFont="1"/>
    <xf numFmtId="176" fontId="14" fillId="0" borderId="0" xfId="0" applyNumberFormat="1" applyFont="1" applyAlignment="1">
      <alignment horizontal="center"/>
    </xf>
    <xf numFmtId="176" fontId="15" fillId="0" borderId="0" xfId="0" applyNumberFormat="1" applyFont="1"/>
    <xf numFmtId="176" fontId="14" fillId="0" borderId="3" xfId="0" applyNumberFormat="1" applyFont="1" applyBorder="1"/>
    <xf numFmtId="176" fontId="14" fillId="0" borderId="3" xfId="0" applyNumberFormat="1" applyFont="1" applyBorder="1" applyAlignment="1">
      <alignment horizontal="center"/>
    </xf>
    <xf numFmtId="0" fontId="16" fillId="0" borderId="0" xfId="0" applyFont="1"/>
    <xf numFmtId="176" fontId="0" fillId="0" borderId="0" xfId="0" applyNumberFormat="1"/>
    <xf numFmtId="17" fontId="14" fillId="0" borderId="0" xfId="0" applyNumberFormat="1" applyFont="1" applyAlignment="1">
      <alignment horizontal="left" indent="1"/>
    </xf>
    <xf numFmtId="176" fontId="14" fillId="0" borderId="0" xfId="0" applyNumberFormat="1" applyFont="1" applyAlignment="1">
      <alignment horizontal="left"/>
    </xf>
    <xf numFmtId="9" fontId="12" fillId="0" borderId="0" xfId="0" applyNumberFormat="1" applyFont="1"/>
    <xf numFmtId="176" fontId="15" fillId="0" borderId="4" xfId="0" applyNumberFormat="1" applyFont="1" applyBorder="1"/>
    <xf numFmtId="10" fontId="12" fillId="0" borderId="0" xfId="0" applyNumberFormat="1" applyFont="1"/>
    <xf numFmtId="164" fontId="17" fillId="0" borderId="0" xfId="0" applyNumberFormat="1" applyFont="1"/>
    <xf numFmtId="0" fontId="18" fillId="0" borderId="1" xfId="0" applyFont="1" applyBorder="1"/>
    <xf numFmtId="0" fontId="19" fillId="0" borderId="13" xfId="0" applyFont="1" applyBorder="1" applyAlignment="1">
      <alignment horizontal="left" indent="1"/>
    </xf>
    <xf numFmtId="0" fontId="19" fillId="0" borderId="14" xfId="0" applyFont="1" applyBorder="1" applyAlignment="1">
      <alignment horizontal="left" indent="1"/>
    </xf>
    <xf numFmtId="0" fontId="18" fillId="0" borderId="0" xfId="0" applyFont="1"/>
    <xf numFmtId="0" fontId="19" fillId="0" borderId="15" xfId="0" applyFont="1" applyBorder="1" applyAlignment="1">
      <alignment horizontal="left" indent="1"/>
    </xf>
    <xf numFmtId="0" fontId="21" fillId="0" borderId="0" xfId="0" applyFont="1"/>
    <xf numFmtId="0" fontId="22" fillId="0" borderId="11" xfId="0" applyFont="1" applyBorder="1"/>
    <xf numFmtId="0" fontId="22" fillId="0" borderId="12" xfId="0" applyFont="1" applyBorder="1" applyAlignment="1">
      <alignment horizontal="right"/>
    </xf>
    <xf numFmtId="0" fontId="21" fillId="0" borderId="7" xfId="0" applyFont="1" applyBorder="1"/>
    <xf numFmtId="183" fontId="21" fillId="0" borderId="0" xfId="1" applyNumberFormat="1" applyFont="1"/>
    <xf numFmtId="10" fontId="21" fillId="0" borderId="0" xfId="2" applyNumberFormat="1" applyFont="1"/>
    <xf numFmtId="10" fontId="21" fillId="0" borderId="7" xfId="2" applyNumberFormat="1" applyFont="1" applyBorder="1"/>
    <xf numFmtId="183" fontId="21" fillId="0" borderId="7" xfId="1" applyNumberFormat="1" applyFont="1" applyBorder="1"/>
    <xf numFmtId="183" fontId="21" fillId="0" borderId="4" xfId="1" applyNumberFormat="1" applyFont="1" applyBorder="1"/>
    <xf numFmtId="183" fontId="21" fillId="0" borderId="6" xfId="1" applyNumberFormat="1" applyFont="1" applyBorder="1"/>
    <xf numFmtId="9" fontId="21" fillId="0" borderId="0" xfId="2" applyFont="1"/>
    <xf numFmtId="9" fontId="21" fillId="0" borderId="7" xfId="2" applyFont="1" applyBorder="1"/>
    <xf numFmtId="183" fontId="21" fillId="0" borderId="5" xfId="1" applyNumberFormat="1" applyFont="1" applyBorder="1"/>
    <xf numFmtId="0" fontId="21" fillId="0" borderId="8" xfId="0" applyFont="1" applyBorder="1"/>
    <xf numFmtId="0" fontId="22" fillId="0" borderId="0" xfId="0" applyFont="1"/>
    <xf numFmtId="183" fontId="21" fillId="0" borderId="11" xfId="1" applyNumberFormat="1" applyFont="1" applyBorder="1"/>
    <xf numFmtId="183" fontId="21" fillId="0" borderId="12" xfId="1" applyNumberFormat="1" applyFont="1" applyBorder="1"/>
    <xf numFmtId="183" fontId="21" fillId="0" borderId="0" xfId="0" applyNumberFormat="1" applyFont="1"/>
    <xf numFmtId="0" fontId="21" fillId="0" borderId="4" xfId="0" applyFont="1" applyBorder="1"/>
    <xf numFmtId="0" fontId="21" fillId="0" borderId="1" xfId="0" applyFont="1" applyBorder="1"/>
    <xf numFmtId="0" fontId="22" fillId="0" borderId="1" xfId="0" applyFont="1" applyBorder="1"/>
    <xf numFmtId="0" fontId="22" fillId="0" borderId="16" xfId="0" applyFont="1" applyBorder="1"/>
    <xf numFmtId="0" fontId="23" fillId="0" borderId="0" xfId="0" applyFont="1"/>
    <xf numFmtId="0" fontId="24" fillId="5" borderId="0" xfId="0" applyFont="1" applyFill="1"/>
    <xf numFmtId="0" fontId="25" fillId="5" borderId="0" xfId="0" applyFont="1" applyFill="1"/>
    <xf numFmtId="183" fontId="21" fillId="0" borderId="13" xfId="0" applyNumberFormat="1" applyFont="1" applyBorder="1"/>
    <xf numFmtId="183" fontId="21" fillId="0" borderId="4" xfId="0" applyNumberFormat="1" applyFont="1" applyBorder="1"/>
    <xf numFmtId="0" fontId="21" fillId="0" borderId="15" xfId="0" applyFont="1" applyBorder="1"/>
    <xf numFmtId="0" fontId="22" fillId="0" borderId="18" xfId="0" applyFont="1" applyBorder="1"/>
    <xf numFmtId="0" fontId="21" fillId="0" borderId="19" xfId="0" applyFont="1" applyBorder="1"/>
    <xf numFmtId="183" fontId="22" fillId="0" borderId="19" xfId="0" applyNumberFormat="1" applyFont="1" applyBorder="1"/>
    <xf numFmtId="0" fontId="26" fillId="0" borderId="0" xfId="0" applyFont="1"/>
    <xf numFmtId="0" fontId="21" fillId="0" borderId="14" xfId="0" applyFont="1" applyBorder="1"/>
    <xf numFmtId="183" fontId="21" fillId="0" borderId="10" xfId="1" applyNumberFormat="1" applyFont="1" applyBorder="1"/>
    <xf numFmtId="183" fontId="21" fillId="0" borderId="21" xfId="1" applyNumberFormat="1" applyFont="1" applyBorder="1"/>
    <xf numFmtId="3" fontId="21" fillId="0" borderId="21" xfId="0" applyNumberFormat="1" applyFont="1" applyBorder="1"/>
    <xf numFmtId="0" fontId="23" fillId="0" borderId="4" xfId="0" applyFont="1" applyBorder="1"/>
    <xf numFmtId="183" fontId="23" fillId="0" borderId="10" xfId="0" applyNumberFormat="1" applyFont="1" applyBorder="1"/>
    <xf numFmtId="0" fontId="23" fillId="0" borderId="1" xfId="0" applyFont="1" applyBorder="1"/>
    <xf numFmtId="183" fontId="23" fillId="0" borderId="21" xfId="1" applyNumberFormat="1" applyFont="1" applyBorder="1"/>
    <xf numFmtId="0" fontId="23" fillId="0" borderId="8" xfId="0" applyFont="1" applyBorder="1"/>
    <xf numFmtId="183" fontId="23" fillId="0" borderId="17" xfId="0" applyNumberFormat="1" applyFont="1" applyBorder="1"/>
    <xf numFmtId="0" fontId="23" fillId="0" borderId="13" xfId="0" applyFont="1" applyBorder="1"/>
    <xf numFmtId="183" fontId="23" fillId="0" borderId="10" xfId="1" applyNumberFormat="1" applyFont="1" applyBorder="1"/>
    <xf numFmtId="0" fontId="23" fillId="0" borderId="14" xfId="0" applyFont="1" applyBorder="1"/>
    <xf numFmtId="0" fontId="23" fillId="0" borderId="15" xfId="0" applyFont="1" applyBorder="1"/>
    <xf numFmtId="183" fontId="23" fillId="0" borderId="17" xfId="1" applyNumberFormat="1" applyFont="1" applyBorder="1"/>
    <xf numFmtId="0" fontId="23" fillId="0" borderId="10" xfId="0" applyFont="1" applyBorder="1"/>
    <xf numFmtId="0" fontId="23" fillId="0" borderId="21" xfId="0" applyFont="1" applyBorder="1"/>
    <xf numFmtId="9" fontId="23" fillId="0" borderId="17" xfId="2" applyFont="1" applyBorder="1"/>
    <xf numFmtId="10" fontId="23" fillId="0" borderId="10" xfId="0" applyNumberFormat="1" applyFont="1" applyBorder="1"/>
    <xf numFmtId="10" fontId="23" fillId="0" borderId="17" xfId="0" applyNumberFormat="1" applyFont="1" applyBorder="1"/>
    <xf numFmtId="10" fontId="23" fillId="0" borderId="21" xfId="0" applyNumberFormat="1" applyFont="1" applyBorder="1"/>
    <xf numFmtId="10" fontId="23" fillId="0" borderId="17" xfId="2" applyNumberFormat="1" applyFont="1" applyBorder="1"/>
    <xf numFmtId="3" fontId="23" fillId="0" borderId="21" xfId="0" applyNumberFormat="1" applyFont="1" applyBorder="1"/>
    <xf numFmtId="9" fontId="23" fillId="0" borderId="21" xfId="2" applyFont="1" applyBorder="1"/>
    <xf numFmtId="0" fontId="27" fillId="0" borderId="15" xfId="0" applyFont="1" applyBorder="1" applyAlignment="1">
      <alignment horizontal="left" indent="2"/>
    </xf>
    <xf numFmtId="0" fontId="28" fillId="0" borderId="14" xfId="0" applyFont="1" applyBorder="1" applyAlignment="1">
      <alignment horizontal="left" indent="2"/>
    </xf>
    <xf numFmtId="17" fontId="21" fillId="0" borderId="14" xfId="0" applyNumberFormat="1" applyFont="1" applyBorder="1"/>
    <xf numFmtId="0" fontId="21" fillId="0" borderId="19" xfId="0" applyFont="1" applyBorder="1" applyAlignment="1">
      <alignment horizontal="right"/>
    </xf>
    <xf numFmtId="0" fontId="21" fillId="0" borderId="20" xfId="0" applyFont="1" applyBorder="1" applyAlignment="1">
      <alignment horizontal="right"/>
    </xf>
    <xf numFmtId="0" fontId="22" fillId="0" borderId="8" xfId="0" applyFont="1" applyBorder="1"/>
    <xf numFmtId="0" fontId="22" fillId="0" borderId="19" xfId="0" applyFont="1" applyBorder="1"/>
    <xf numFmtId="183" fontId="22" fillId="0" borderId="20" xfId="1" applyNumberFormat="1" applyFont="1" applyBorder="1"/>
    <xf numFmtId="0" fontId="21" fillId="0" borderId="18" xfId="0" applyFont="1" applyBorder="1"/>
    <xf numFmtId="183" fontId="22" fillId="0" borderId="1" xfId="0" applyNumberFormat="1" applyFont="1" applyBorder="1"/>
    <xf numFmtId="183" fontId="22" fillId="0" borderId="8" xfId="0" applyNumberFormat="1" applyFont="1" applyBorder="1"/>
    <xf numFmtId="0" fontId="18" fillId="0" borderId="15" xfId="0" applyFont="1" applyBorder="1" applyAlignment="1">
      <alignment horizontal="left" indent="1"/>
    </xf>
    <xf numFmtId="2" fontId="22" fillId="0" borderId="17" xfId="0" applyNumberFormat="1" applyFont="1" applyBorder="1"/>
    <xf numFmtId="9" fontId="23" fillId="0" borderId="17" xfId="0" applyNumberFormat="1" applyFont="1" applyBorder="1"/>
    <xf numFmtId="183" fontId="21" fillId="0" borderId="6" xfId="0" applyNumberFormat="1" applyFont="1" applyBorder="1"/>
    <xf numFmtId="183" fontId="21" fillId="0" borderId="9" xfId="0" applyNumberFormat="1" applyFont="1" applyBorder="1"/>
    <xf numFmtId="183" fontId="21" fillId="0" borderId="7" xfId="0" applyNumberFormat="1" applyFont="1" applyBorder="1"/>
    <xf numFmtId="183" fontId="22" fillId="0" borderId="5" xfId="0" applyNumberFormat="1" applyFont="1" applyBorder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3</xdr:row>
      <xdr:rowOff>241300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698904-43B1-9C96-B217-FDE975FC6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18900" cy="220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35"/>
  <sheetViews>
    <sheetView showGridLines="0" topLeftCell="A61" workbookViewId="0">
      <selection activeCell="J108" sqref="J108"/>
    </sheetView>
  </sheetViews>
  <sheetFormatPr baseColWidth="10" defaultColWidth="8.83203125" defaultRowHeight="14" outlineLevelRow="1"/>
  <cols>
    <col min="1" max="1" width="6.5" customWidth="1"/>
    <col min="2" max="2" width="48" customWidth="1"/>
    <col min="3" max="4" width="4" customWidth="1"/>
    <col min="5" max="14" width="13" customWidth="1"/>
  </cols>
  <sheetData>
    <row r="1" spans="2:14" ht="18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2:14" ht="1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15">
      <c r="B4" s="23" t="s">
        <v>124</v>
      </c>
      <c r="C4" s="1"/>
      <c r="D4" s="1"/>
      <c r="E4" s="3">
        <v>2021</v>
      </c>
      <c r="F4" s="3">
        <v>2022</v>
      </c>
      <c r="G4" s="3">
        <v>2023</v>
      </c>
      <c r="H4" s="3">
        <v>2024</v>
      </c>
      <c r="I4" s="3">
        <v>2025</v>
      </c>
      <c r="J4" s="24">
        <v>2026</v>
      </c>
      <c r="K4" s="24">
        <v>2027</v>
      </c>
      <c r="L4" s="24">
        <v>2028</v>
      </c>
      <c r="M4" s="24">
        <v>2029</v>
      </c>
      <c r="N4" s="24">
        <v>2030</v>
      </c>
    </row>
    <row r="5" spans="2:14" ht="15">
      <c r="B5" s="25" t="s">
        <v>127</v>
      </c>
      <c r="C5" s="25"/>
      <c r="D5" s="25"/>
      <c r="E5" s="25"/>
      <c r="F5" s="26">
        <f>F22/E22-1</f>
        <v>4.8767344739323759E-2</v>
      </c>
      <c r="G5" s="26">
        <f t="shared" ref="G5:I5" si="0">G22/F22-1</f>
        <v>9.6488974523656568E-2</v>
      </c>
      <c r="H5" s="26">
        <f t="shared" si="0"/>
        <v>2.8310912392370824E-3</v>
      </c>
      <c r="I5" s="26">
        <f t="shared" si="0"/>
        <v>-9.8380125384525563E-2</v>
      </c>
      <c r="J5" s="39">
        <v>0.01</v>
      </c>
      <c r="K5" s="39">
        <v>7.0000000000000007E-2</v>
      </c>
      <c r="L5" s="39">
        <v>0.08</v>
      </c>
      <c r="M5" s="39">
        <v>0.09</v>
      </c>
      <c r="N5" s="39">
        <v>0.09</v>
      </c>
    </row>
    <row r="6" spans="2:14" ht="15">
      <c r="B6" s="25" t="s">
        <v>128</v>
      </c>
      <c r="C6" s="25"/>
      <c r="D6" s="25"/>
      <c r="E6" s="26">
        <f>E23/E22</f>
        <v>0.55179846423279</v>
      </c>
      <c r="F6" s="26">
        <f t="shared" ref="F6:I6" si="1">F23/F22</f>
        <v>0.54016270605865979</v>
      </c>
      <c r="G6" s="26">
        <f t="shared" si="1"/>
        <v>0.56475389030985801</v>
      </c>
      <c r="H6" s="26">
        <f t="shared" si="1"/>
        <v>0.55439819321677508</v>
      </c>
      <c r="I6" s="26">
        <f t="shared" si="1"/>
        <v>0.57265326394437366</v>
      </c>
      <c r="J6" s="39">
        <v>0.57999999999999996</v>
      </c>
      <c r="K6" s="39">
        <v>0.56000000000000005</v>
      </c>
      <c r="L6" s="39">
        <v>0.54</v>
      </c>
      <c r="M6" s="39">
        <v>0.52</v>
      </c>
      <c r="N6" s="39">
        <v>0.52</v>
      </c>
    </row>
    <row r="7" spans="2:14" ht="15">
      <c r="B7" s="25" t="s">
        <v>152</v>
      </c>
      <c r="C7" s="25"/>
      <c r="D7" s="25"/>
      <c r="E7" s="26"/>
      <c r="F7" s="26">
        <f>F25/E25-1</f>
        <v>0.23635195889531158</v>
      </c>
      <c r="G7" s="26">
        <f t="shared" ref="G7:I7" si="2">G25/F25-1</f>
        <v>5.4545454545454453E-2</v>
      </c>
      <c r="H7" s="26">
        <f t="shared" si="2"/>
        <v>5.5418719211822731E-2</v>
      </c>
      <c r="I7" s="26">
        <f t="shared" si="2"/>
        <v>9.4282380396732757E-2</v>
      </c>
      <c r="J7" s="39">
        <v>0.1</v>
      </c>
      <c r="K7" s="39">
        <v>0.12</v>
      </c>
      <c r="L7" s="39">
        <v>0.12</v>
      </c>
      <c r="M7" s="39">
        <v>0.14000000000000001</v>
      </c>
      <c r="N7" s="39">
        <v>0.14000000000000001</v>
      </c>
    </row>
    <row r="8" spans="2:14" ht="15">
      <c r="B8" s="25" t="s">
        <v>134</v>
      </c>
      <c r="C8" s="25"/>
      <c r="D8" s="25"/>
      <c r="E8" s="26">
        <f>E27/E22</f>
        <v>0.29244689927702189</v>
      </c>
      <c r="F8" s="26">
        <f t="shared" ref="F8:I8" si="3">F27/F22</f>
        <v>0.31693427531577822</v>
      </c>
      <c r="G8" s="26">
        <f t="shared" si="3"/>
        <v>0.31975711189644063</v>
      </c>
      <c r="H8" s="26">
        <f t="shared" si="3"/>
        <v>0.32272886569837622</v>
      </c>
      <c r="I8" s="26">
        <f t="shared" si="3"/>
        <v>0.34740547193850008</v>
      </c>
      <c r="J8" s="39">
        <v>0.35</v>
      </c>
      <c r="K8" s="39">
        <v>0.36</v>
      </c>
      <c r="L8" s="39">
        <v>0.36</v>
      </c>
      <c r="M8" s="39">
        <v>0.36</v>
      </c>
      <c r="N8" s="39">
        <v>0.36</v>
      </c>
    </row>
    <row r="9" spans="2:14" ht="15">
      <c r="B9" s="25" t="s">
        <v>129</v>
      </c>
      <c r="C9" s="25"/>
      <c r="D9" s="25"/>
      <c r="E9" s="26">
        <f>E27/E22</f>
        <v>0.29244689927702189</v>
      </c>
      <c r="F9" s="26">
        <f t="shared" ref="F9:I9" si="4">F81/F47</f>
        <v>0.14965560425798372</v>
      </c>
      <c r="G9" s="26">
        <f t="shared" si="4"/>
        <v>0.13835859082857704</v>
      </c>
      <c r="H9" s="26">
        <f t="shared" si="4"/>
        <v>0.15920000000000001</v>
      </c>
      <c r="I9" s="26">
        <f t="shared" si="4"/>
        <v>0.16052195526097762</v>
      </c>
      <c r="J9" s="41">
        <f>AVERAGE(G9:I9)</f>
        <v>0.1526935153631849</v>
      </c>
      <c r="K9" s="41">
        <f t="shared" ref="K9:N9" si="5">AVERAGE(H9:J9)</f>
        <v>0.15747182354138753</v>
      </c>
      <c r="L9" s="41">
        <f t="shared" si="5"/>
        <v>0.15689576472185005</v>
      </c>
      <c r="M9" s="41">
        <f t="shared" si="5"/>
        <v>0.15568703454214083</v>
      </c>
      <c r="N9" s="41">
        <f t="shared" si="5"/>
        <v>0.15668487426845948</v>
      </c>
    </row>
    <row r="10" spans="2:14" ht="15">
      <c r="B10" s="25" t="s">
        <v>133</v>
      </c>
      <c r="C10" s="25"/>
      <c r="D10" s="25"/>
      <c r="E10" s="26">
        <f>E29/E63</f>
        <v>2.7833846807606501E-2</v>
      </c>
      <c r="F10" s="26">
        <f t="shared" ref="F10:I10" si="6">F29/F63</f>
        <v>2.2982062780269059E-2</v>
      </c>
      <c r="G10" s="26">
        <f t="shared" si="6"/>
        <v>-6.7211829281953628E-4</v>
      </c>
      <c r="H10" s="26">
        <f t="shared" si="6"/>
        <v>-2.0372010628875111E-2</v>
      </c>
      <c r="I10" s="26">
        <f t="shared" si="6"/>
        <v>-1.3440522547418666E-2</v>
      </c>
      <c r="J10" s="39">
        <v>0.02</v>
      </c>
      <c r="K10" s="39">
        <v>0.02</v>
      </c>
      <c r="L10" s="39">
        <v>0.02</v>
      </c>
      <c r="M10" s="39">
        <v>0.02</v>
      </c>
      <c r="N10" s="39">
        <v>0.02</v>
      </c>
    </row>
    <row r="11" spans="2:14" ht="15">
      <c r="B11" s="25" t="s">
        <v>125</v>
      </c>
      <c r="C11" s="25"/>
      <c r="D11" s="25"/>
      <c r="E11" s="26">
        <f>E32/E31</f>
        <v>0.14021918630836211</v>
      </c>
      <c r="F11" s="26">
        <f t="shared" ref="F11:I11" si="7">F32/F31</f>
        <v>9.0963764847391368E-2</v>
      </c>
      <c r="G11" s="26">
        <f t="shared" si="7"/>
        <v>0.18238993710691823</v>
      </c>
      <c r="H11" s="26">
        <f t="shared" si="7"/>
        <v>0.14925373134328357</v>
      </c>
      <c r="I11" s="26">
        <f t="shared" si="7"/>
        <v>0.17142857142857143</v>
      </c>
      <c r="J11" s="39">
        <v>0.15</v>
      </c>
      <c r="K11" s="39">
        <v>0.15</v>
      </c>
      <c r="L11" s="39">
        <v>0.15</v>
      </c>
      <c r="M11" s="39">
        <v>0.15</v>
      </c>
      <c r="N11" s="39">
        <v>0.15</v>
      </c>
    </row>
    <row r="12" spans="2:14" ht="15">
      <c r="B12" s="25" t="s">
        <v>130</v>
      </c>
      <c r="C12" s="25"/>
      <c r="D12" s="25"/>
      <c r="E12" s="27">
        <f>E43/E22*365</f>
        <v>36.575396290807852</v>
      </c>
      <c r="F12" s="27">
        <f t="shared" ref="F12:I12" si="8">F43/F22*365</f>
        <v>36.468743309783775</v>
      </c>
      <c r="G12" s="27">
        <f t="shared" si="8"/>
        <v>29.439736806138587</v>
      </c>
      <c r="H12" s="27">
        <f t="shared" si="8"/>
        <v>31.460126163311397</v>
      </c>
      <c r="I12" s="27">
        <f t="shared" si="8"/>
        <v>37.178626184974839</v>
      </c>
      <c r="J12" s="25">
        <v>31</v>
      </c>
      <c r="K12" s="25">
        <v>31</v>
      </c>
      <c r="L12" s="25">
        <v>31</v>
      </c>
      <c r="M12" s="25">
        <v>31</v>
      </c>
      <c r="N12" s="25">
        <v>31</v>
      </c>
    </row>
    <row r="13" spans="2:14" ht="15">
      <c r="B13" s="25" t="s">
        <v>131</v>
      </c>
      <c r="C13" s="25"/>
      <c r="D13" s="25"/>
      <c r="E13" s="27">
        <f>E44/E23*365</f>
        <v>101.79484049479166</v>
      </c>
      <c r="F13" s="27">
        <f t="shared" ref="F13:I13" si="9">F44/F23*365</f>
        <v>121.8065078673061</v>
      </c>
      <c r="G13" s="27">
        <f t="shared" si="9"/>
        <v>106.67968885047536</v>
      </c>
      <c r="H13" s="27">
        <f t="shared" si="9"/>
        <v>96.380509218612829</v>
      </c>
      <c r="I13" s="27">
        <f t="shared" si="9"/>
        <v>103.07647347185038</v>
      </c>
      <c r="J13" s="25">
        <v>95</v>
      </c>
      <c r="K13" s="25">
        <v>93</v>
      </c>
      <c r="L13" s="25">
        <v>90</v>
      </c>
      <c r="M13" s="25">
        <v>90</v>
      </c>
      <c r="N13" s="25">
        <v>90</v>
      </c>
    </row>
    <row r="14" spans="2:14" ht="15">
      <c r="B14" s="25" t="s">
        <v>132</v>
      </c>
      <c r="C14" s="25"/>
      <c r="D14" s="25"/>
      <c r="E14" s="27">
        <f>E58/E23*365</f>
        <v>42.119954427083336</v>
      </c>
      <c r="F14" s="27">
        <f t="shared" ref="F14:I14" si="10">F58/F23*365</f>
        <v>48.577939835916133</v>
      </c>
      <c r="G14" s="27">
        <f t="shared" si="10"/>
        <v>36.115125324114082</v>
      </c>
      <c r="H14" s="27">
        <f t="shared" si="10"/>
        <v>36.544863915715538</v>
      </c>
      <c r="I14" s="27">
        <f t="shared" si="10"/>
        <v>47.883969983785214</v>
      </c>
      <c r="J14" s="25">
        <v>40</v>
      </c>
      <c r="K14" s="25">
        <v>40</v>
      </c>
      <c r="L14" s="25">
        <v>40</v>
      </c>
      <c r="M14" s="25">
        <v>40</v>
      </c>
      <c r="N14" s="25">
        <v>40</v>
      </c>
    </row>
    <row r="15" spans="2:14" ht="15">
      <c r="B15" s="25" t="s">
        <v>154</v>
      </c>
      <c r="C15" s="25"/>
      <c r="D15" s="25"/>
      <c r="E15" s="28">
        <f>E94</f>
        <v>-695</v>
      </c>
      <c r="F15" s="28">
        <f t="shared" ref="F15:I15" si="11">F94</f>
        <v>-758</v>
      </c>
      <c r="G15" s="28">
        <f t="shared" si="11"/>
        <v>-969</v>
      </c>
      <c r="H15" s="28">
        <f t="shared" si="11"/>
        <v>-812</v>
      </c>
      <c r="I15" s="28">
        <f t="shared" si="11"/>
        <v>-430</v>
      </c>
      <c r="J15" s="28">
        <f>-J22*3%</f>
        <v>-1403.1627000000001</v>
      </c>
      <c r="K15" s="28">
        <f t="shared" ref="K15:N15" si="12">-K22*3%</f>
        <v>-1501.3840890000001</v>
      </c>
      <c r="L15" s="28">
        <f t="shared" si="12"/>
        <v>-1621.4948161200002</v>
      </c>
      <c r="M15" s="28">
        <f t="shared" si="12"/>
        <v>-1767.4293495708002</v>
      </c>
      <c r="N15" s="28">
        <f t="shared" si="12"/>
        <v>-1926.4979910321724</v>
      </c>
    </row>
    <row r="16" spans="2:14" ht="15">
      <c r="B16" s="25" t="s">
        <v>153</v>
      </c>
      <c r="C16" s="1"/>
      <c r="D16" s="1"/>
      <c r="E16" s="25">
        <v>365</v>
      </c>
      <c r="F16" s="25">
        <v>365</v>
      </c>
      <c r="G16" s="25">
        <v>365</v>
      </c>
      <c r="H16" s="25">
        <v>365</v>
      </c>
      <c r="I16" s="25">
        <v>365</v>
      </c>
      <c r="J16" s="25">
        <v>365</v>
      </c>
      <c r="K16" s="25">
        <v>365</v>
      </c>
      <c r="L16" s="25">
        <v>365</v>
      </c>
      <c r="M16" s="25">
        <v>365</v>
      </c>
      <c r="N16" s="25">
        <v>365</v>
      </c>
    </row>
    <row r="17" spans="2:15" ht="1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5" ht="13" customHeight="1"/>
    <row r="19" spans="2:15" ht="15">
      <c r="B19" s="3" t="s">
        <v>2</v>
      </c>
      <c r="C19" s="3"/>
      <c r="D19" s="3"/>
      <c r="E19" s="3">
        <v>2021</v>
      </c>
      <c r="F19" s="3">
        <v>2022</v>
      </c>
      <c r="G19" s="3">
        <v>2023</v>
      </c>
      <c r="H19" s="3">
        <v>2024</v>
      </c>
      <c r="I19" s="3">
        <v>2025</v>
      </c>
      <c r="J19" s="24">
        <v>2026</v>
      </c>
      <c r="K19" s="24">
        <v>2027</v>
      </c>
      <c r="L19" s="24">
        <v>2028</v>
      </c>
      <c r="M19" s="24">
        <v>2029</v>
      </c>
      <c r="N19" s="24">
        <v>2030</v>
      </c>
    </row>
    <row r="21" spans="2:15" ht="15">
      <c r="B21" s="21" t="s">
        <v>3</v>
      </c>
      <c r="C21" s="21" t="s">
        <v>3</v>
      </c>
      <c r="D21" s="21" t="s">
        <v>3</v>
      </c>
      <c r="E21" s="21" t="s">
        <v>3</v>
      </c>
      <c r="F21" s="21" t="s">
        <v>3</v>
      </c>
      <c r="G21" s="21" t="s">
        <v>3</v>
      </c>
      <c r="H21" s="21" t="s">
        <v>3</v>
      </c>
      <c r="I21" s="21" t="s">
        <v>3</v>
      </c>
      <c r="J21" s="21" t="s">
        <v>3</v>
      </c>
      <c r="K21" s="21" t="s">
        <v>3</v>
      </c>
      <c r="L21" s="21" t="s">
        <v>3</v>
      </c>
      <c r="M21" s="21" t="s">
        <v>3</v>
      </c>
      <c r="N21" s="21" t="s">
        <v>3</v>
      </c>
    </row>
    <row r="22" spans="2:15" outlineLevel="1">
      <c r="B22" t="s">
        <v>4</v>
      </c>
      <c r="E22" s="4">
        <v>44538</v>
      </c>
      <c r="F22" s="4">
        <v>46710</v>
      </c>
      <c r="G22" s="4">
        <v>51217</v>
      </c>
      <c r="H22" s="4">
        <v>51362</v>
      </c>
      <c r="I22" s="4">
        <v>46309</v>
      </c>
      <c r="J22" s="5">
        <f>I22*(1+J5)</f>
        <v>46772.090000000004</v>
      </c>
      <c r="K22" s="5">
        <f t="shared" ref="K22:N22" si="13">J22*(1+K5)</f>
        <v>50046.136300000006</v>
      </c>
      <c r="L22" s="5">
        <f t="shared" si="13"/>
        <v>54049.827204000008</v>
      </c>
      <c r="M22" s="5">
        <f t="shared" si="13"/>
        <v>58914.311652360011</v>
      </c>
      <c r="N22" s="5">
        <f t="shared" si="13"/>
        <v>64216.599701072417</v>
      </c>
    </row>
    <row r="23" spans="2:15" outlineLevel="1">
      <c r="B23" t="s">
        <v>5</v>
      </c>
      <c r="E23" s="4">
        <v>24576</v>
      </c>
      <c r="F23" s="4">
        <v>25231</v>
      </c>
      <c r="G23" s="4">
        <v>28925</v>
      </c>
      <c r="H23" s="4">
        <v>28475</v>
      </c>
      <c r="I23" s="4">
        <v>26519</v>
      </c>
      <c r="J23" s="5">
        <f>J22*J6</f>
        <v>27127.8122</v>
      </c>
      <c r="K23" s="5">
        <f t="shared" ref="K23:N23" si="14">K22*K6</f>
        <v>28025.836328000005</v>
      </c>
      <c r="L23" s="5">
        <f t="shared" si="14"/>
        <v>29186.906690160005</v>
      </c>
      <c r="M23" s="5">
        <f t="shared" si="14"/>
        <v>30635.442059227207</v>
      </c>
      <c r="N23" s="5">
        <f t="shared" si="14"/>
        <v>33392.631844557654</v>
      </c>
    </row>
    <row r="24" spans="2:15" ht="15" outlineLevel="1">
      <c r="B24" s="8" t="s">
        <v>6</v>
      </c>
      <c r="C24" s="8"/>
      <c r="D24" s="8"/>
      <c r="E24" s="9">
        <v>19962</v>
      </c>
      <c r="F24" s="9">
        <v>21479</v>
      </c>
      <c r="G24" s="9">
        <v>22292</v>
      </c>
      <c r="H24" s="9">
        <v>22887</v>
      </c>
      <c r="I24" s="9">
        <v>19790</v>
      </c>
      <c r="J24" s="10">
        <f>J22-J23</f>
        <v>19644.277800000003</v>
      </c>
      <c r="K24" s="10">
        <f t="shared" ref="K24:N24" si="15">K22-K23</f>
        <v>22020.299972000001</v>
      </c>
      <c r="L24" s="10">
        <f t="shared" si="15"/>
        <v>24862.920513840003</v>
      </c>
      <c r="M24" s="10">
        <f t="shared" si="15"/>
        <v>28278.869593132804</v>
      </c>
      <c r="N24" s="10">
        <f t="shared" si="15"/>
        <v>30823.967856514762</v>
      </c>
    </row>
    <row r="25" spans="2:15" outlineLevel="1">
      <c r="B25" t="s">
        <v>7</v>
      </c>
      <c r="E25" s="4">
        <v>3114</v>
      </c>
      <c r="F25" s="4">
        <v>3850</v>
      </c>
      <c r="G25" s="4">
        <v>4060</v>
      </c>
      <c r="H25" s="4">
        <v>4285</v>
      </c>
      <c r="I25" s="4">
        <v>4689</v>
      </c>
      <c r="J25" s="5">
        <f>I25*(1+J7)</f>
        <v>5157.9000000000005</v>
      </c>
      <c r="K25" s="5">
        <f t="shared" ref="K25:N25" si="16">J25*(1+K7)</f>
        <v>5776.8480000000009</v>
      </c>
      <c r="L25" s="5">
        <f t="shared" si="16"/>
        <v>6470.0697600000012</v>
      </c>
      <c r="M25" s="5">
        <f t="shared" si="16"/>
        <v>7375.8795264000019</v>
      </c>
      <c r="N25" s="5">
        <f t="shared" si="16"/>
        <v>8408.5026600960027</v>
      </c>
    </row>
    <row r="26" spans="2:15" outlineLevel="1">
      <c r="B26" t="s">
        <v>8</v>
      </c>
      <c r="E26" s="4">
        <v>9911</v>
      </c>
      <c r="F26" s="4">
        <v>10954</v>
      </c>
      <c r="G26" s="4">
        <v>12317</v>
      </c>
      <c r="H26" s="4">
        <v>12291</v>
      </c>
      <c r="I26" s="4">
        <v>11399</v>
      </c>
      <c r="J26" s="5">
        <f>J27-J25</f>
        <v>11212.3315</v>
      </c>
      <c r="K26" s="5">
        <f t="shared" ref="K26:N26" si="17">K27-K25</f>
        <v>12239.761068</v>
      </c>
      <c r="L26" s="5">
        <f t="shared" si="17"/>
        <v>12987.868033440001</v>
      </c>
      <c r="M26" s="5">
        <f t="shared" si="17"/>
        <v>13833.272668449603</v>
      </c>
      <c r="N26" s="5">
        <f t="shared" si="17"/>
        <v>14709.473232290065</v>
      </c>
      <c r="O26" s="5"/>
    </row>
    <row r="27" spans="2:15" ht="15" outlineLevel="1">
      <c r="B27" s="8" t="s">
        <v>9</v>
      </c>
      <c r="C27" s="8"/>
      <c r="D27" s="8"/>
      <c r="E27" s="9">
        <v>13025</v>
      </c>
      <c r="F27" s="9">
        <v>14804</v>
      </c>
      <c r="G27" s="9">
        <v>16377</v>
      </c>
      <c r="H27" s="9">
        <v>16576</v>
      </c>
      <c r="I27" s="9">
        <v>16088</v>
      </c>
      <c r="J27" s="10">
        <f>J22*J8</f>
        <v>16370.2315</v>
      </c>
      <c r="K27" s="10">
        <f t="shared" ref="K27:N27" si="18">K22*K8</f>
        <v>18016.609068000002</v>
      </c>
      <c r="L27" s="10">
        <f t="shared" si="18"/>
        <v>19457.937793440004</v>
      </c>
      <c r="M27" s="10">
        <f t="shared" si="18"/>
        <v>21209.152194849605</v>
      </c>
      <c r="N27" s="10">
        <f t="shared" si="18"/>
        <v>23117.975892386068</v>
      </c>
    </row>
    <row r="28" spans="2:15" ht="15" outlineLevel="1">
      <c r="B28" s="8" t="s">
        <v>10</v>
      </c>
      <c r="C28" s="8"/>
      <c r="D28" s="8"/>
      <c r="E28" s="10">
        <f>E24-E27</f>
        <v>6937</v>
      </c>
      <c r="F28" s="10">
        <f>F24-F27</f>
        <v>6675</v>
      </c>
      <c r="G28" s="10">
        <f>G24-G27</f>
        <v>5915</v>
      </c>
      <c r="H28" s="10">
        <f>H24-H27</f>
        <v>6311</v>
      </c>
      <c r="I28" s="10">
        <f>I24-I27</f>
        <v>3702</v>
      </c>
      <c r="J28" s="10">
        <f t="shared" ref="J28:N28" si="19">J24-J27</f>
        <v>3274.0463000000036</v>
      </c>
      <c r="K28" s="10">
        <f t="shared" si="19"/>
        <v>4003.6909039999991</v>
      </c>
      <c r="L28" s="10">
        <f t="shared" si="19"/>
        <v>5404.9827203999994</v>
      </c>
      <c r="M28" s="10">
        <f t="shared" si="19"/>
        <v>7069.7173982831991</v>
      </c>
      <c r="N28" s="10">
        <f t="shared" si="19"/>
        <v>7705.9919641286942</v>
      </c>
    </row>
    <row r="29" spans="2:15" outlineLevel="1">
      <c r="B29" t="s">
        <v>11</v>
      </c>
      <c r="E29" s="4">
        <v>262</v>
      </c>
      <c r="F29" s="4">
        <v>205</v>
      </c>
      <c r="G29" s="4">
        <v>-6</v>
      </c>
      <c r="H29" s="4">
        <v>-161</v>
      </c>
      <c r="I29" s="4">
        <v>-107</v>
      </c>
      <c r="J29" s="5">
        <f>J130*J10</f>
        <v>140.16</v>
      </c>
      <c r="K29" s="5">
        <f t="shared" ref="K29:N29" si="20">K130*K10</f>
        <v>140.14000000000001</v>
      </c>
      <c r="L29" s="5">
        <f t="shared" si="20"/>
        <v>140.14000000000001</v>
      </c>
      <c r="M29" s="5">
        <f t="shared" si="20"/>
        <v>130.14000000000001</v>
      </c>
      <c r="N29" s="5">
        <f t="shared" si="20"/>
        <v>130.36000000000001</v>
      </c>
    </row>
    <row r="30" spans="2:15" outlineLevel="1">
      <c r="B30" t="s">
        <v>12</v>
      </c>
      <c r="E30" s="4">
        <v>14</v>
      </c>
      <c r="F30" s="4">
        <v>-181</v>
      </c>
      <c r="G30" s="4">
        <v>-280</v>
      </c>
      <c r="H30" s="4">
        <v>-228</v>
      </c>
      <c r="I30" s="4">
        <v>-76</v>
      </c>
      <c r="J30" s="4">
        <v>-76</v>
      </c>
      <c r="K30" s="4">
        <v>-76</v>
      </c>
      <c r="L30" s="4">
        <v>-76</v>
      </c>
      <c r="M30" s="4">
        <v>-76</v>
      </c>
      <c r="N30" s="4">
        <v>-76</v>
      </c>
    </row>
    <row r="31" spans="2:15" ht="15" outlineLevel="1">
      <c r="B31" s="8" t="s">
        <v>13</v>
      </c>
      <c r="C31" s="8"/>
      <c r="D31" s="8"/>
      <c r="E31" s="9">
        <v>6661</v>
      </c>
      <c r="F31" s="9">
        <v>6651</v>
      </c>
      <c r="G31" s="9">
        <v>6201</v>
      </c>
      <c r="H31" s="9">
        <v>6700</v>
      </c>
      <c r="I31" s="9">
        <v>3885</v>
      </c>
      <c r="J31" s="10">
        <f>J28-J29-J30</f>
        <v>3209.8863000000038</v>
      </c>
      <c r="K31" s="10">
        <f t="shared" ref="K31:N31" si="21">K28-K29-K30</f>
        <v>3939.5509039999993</v>
      </c>
      <c r="L31" s="10">
        <f t="shared" si="21"/>
        <v>5340.8427203999991</v>
      </c>
      <c r="M31" s="10">
        <f t="shared" si="21"/>
        <v>7015.5773982831988</v>
      </c>
      <c r="N31" s="10">
        <f t="shared" si="21"/>
        <v>7651.6319641286946</v>
      </c>
    </row>
    <row r="32" spans="2:15" outlineLevel="1">
      <c r="B32" t="s">
        <v>14</v>
      </c>
      <c r="E32" s="4">
        <v>934</v>
      </c>
      <c r="F32" s="4">
        <v>605</v>
      </c>
      <c r="G32" s="4">
        <v>1131</v>
      </c>
      <c r="H32" s="4">
        <v>1000</v>
      </c>
      <c r="I32" s="4">
        <v>666</v>
      </c>
      <c r="J32" s="5">
        <f>J31*J11</f>
        <v>481.48294500000054</v>
      </c>
      <c r="K32" s="5">
        <f t="shared" ref="K32:N32" si="22">K31*K11</f>
        <v>590.93263559999991</v>
      </c>
      <c r="L32" s="5">
        <f t="shared" si="22"/>
        <v>801.12640805999979</v>
      </c>
      <c r="M32" s="5">
        <f t="shared" si="22"/>
        <v>1052.3366097424798</v>
      </c>
      <c r="N32" s="5">
        <f t="shared" si="22"/>
        <v>1147.7447946193042</v>
      </c>
    </row>
    <row r="33" spans="2:14" ht="15" outlineLevel="1">
      <c r="B33" s="8" t="s">
        <v>15</v>
      </c>
      <c r="C33" s="8"/>
      <c r="D33" s="8"/>
      <c r="E33" s="9">
        <v>5727</v>
      </c>
      <c r="F33" s="9">
        <v>6046</v>
      </c>
      <c r="G33" s="9">
        <v>5070</v>
      </c>
      <c r="H33" s="9">
        <v>5700</v>
      </c>
      <c r="I33" s="9">
        <v>3219</v>
      </c>
      <c r="J33" s="10">
        <f>J31-J32</f>
        <v>2728.4033550000031</v>
      </c>
      <c r="K33" s="10">
        <f t="shared" ref="K33:N33" si="23">K31-K32</f>
        <v>3348.6182683999996</v>
      </c>
      <c r="L33" s="10">
        <f t="shared" si="23"/>
        <v>4539.7163123399996</v>
      </c>
      <c r="M33" s="10">
        <f t="shared" si="23"/>
        <v>5963.2407885407192</v>
      </c>
      <c r="N33" s="10">
        <f t="shared" si="23"/>
        <v>6503.8871695093903</v>
      </c>
    </row>
    <row r="34" spans="2:14" outlineLevel="1">
      <c r="B34" t="s">
        <v>16</v>
      </c>
      <c r="E34" s="11">
        <v>3.64</v>
      </c>
      <c r="F34" s="11">
        <v>3.83</v>
      </c>
      <c r="G34" s="11">
        <v>3.27</v>
      </c>
      <c r="H34" s="11">
        <v>3.76</v>
      </c>
      <c r="I34" s="11">
        <v>2.17</v>
      </c>
      <c r="J34" s="12"/>
      <c r="K34" s="12"/>
      <c r="L34" s="12"/>
      <c r="M34" s="12"/>
      <c r="N34" s="12"/>
    </row>
    <row r="35" spans="2:14" outlineLevel="1">
      <c r="B35" t="s">
        <v>17</v>
      </c>
      <c r="E35" s="11">
        <v>3.56</v>
      </c>
      <c r="F35" s="11">
        <v>3.75</v>
      </c>
      <c r="G35" s="11">
        <v>3.23</v>
      </c>
      <c r="H35" s="11">
        <v>3.73</v>
      </c>
      <c r="I35" s="11">
        <v>2.16</v>
      </c>
      <c r="J35" s="12"/>
      <c r="K35" s="12"/>
      <c r="L35" s="12"/>
      <c r="M35" s="12"/>
      <c r="N35" s="12"/>
    </row>
    <row r="36" spans="2:14" outlineLevel="1">
      <c r="B36" t="s">
        <v>18</v>
      </c>
      <c r="E36" s="13">
        <v>1573</v>
      </c>
      <c r="F36" s="13">
        <v>1578.8</v>
      </c>
      <c r="G36" s="13">
        <v>1551.6</v>
      </c>
      <c r="H36" s="13">
        <v>1517.6</v>
      </c>
      <c r="I36" s="13">
        <v>1484.9</v>
      </c>
      <c r="J36" s="14"/>
      <c r="K36" s="14"/>
      <c r="L36" s="14"/>
      <c r="M36" s="14"/>
      <c r="N36" s="14"/>
    </row>
    <row r="37" spans="2:14" outlineLevel="1">
      <c r="B37" t="s">
        <v>19</v>
      </c>
      <c r="E37" s="13">
        <v>1609.4</v>
      </c>
      <c r="F37" s="13">
        <v>1610.8</v>
      </c>
      <c r="G37" s="13">
        <v>1569.8</v>
      </c>
      <c r="H37" s="13">
        <v>1529.7</v>
      </c>
      <c r="I37" s="13">
        <v>1487.6</v>
      </c>
      <c r="J37" s="14"/>
      <c r="K37" s="14"/>
      <c r="L37" s="14"/>
      <c r="M37" s="14"/>
      <c r="N37" s="14"/>
    </row>
    <row r="40" spans="2:14" ht="15">
      <c r="B40" s="21" t="s">
        <v>20</v>
      </c>
      <c r="C40" s="21" t="s">
        <v>20</v>
      </c>
      <c r="D40" s="21" t="s">
        <v>20</v>
      </c>
      <c r="E40" s="21" t="s">
        <v>20</v>
      </c>
      <c r="F40" s="21" t="s">
        <v>20</v>
      </c>
      <c r="G40" s="21" t="s">
        <v>20</v>
      </c>
      <c r="H40" s="21" t="s">
        <v>20</v>
      </c>
      <c r="I40" s="21" t="s">
        <v>20</v>
      </c>
      <c r="J40" s="21" t="s">
        <v>20</v>
      </c>
      <c r="K40" s="21" t="s">
        <v>20</v>
      </c>
      <c r="L40" s="21" t="s">
        <v>20</v>
      </c>
      <c r="M40" s="21" t="s">
        <v>20</v>
      </c>
      <c r="N40" s="21" t="s">
        <v>20</v>
      </c>
    </row>
    <row r="41" spans="2:14" outlineLevel="1">
      <c r="B41" t="s">
        <v>21</v>
      </c>
      <c r="E41" s="4">
        <v>9889</v>
      </c>
      <c r="F41" s="4">
        <v>8574</v>
      </c>
      <c r="G41" s="4">
        <v>7441</v>
      </c>
      <c r="H41" s="4">
        <v>9860</v>
      </c>
      <c r="I41" s="4">
        <v>7464</v>
      </c>
      <c r="J41" s="5">
        <f>J107</f>
        <v>7380.0330408198352</v>
      </c>
      <c r="K41" s="5">
        <f t="shared" ref="K41:N41" si="24">K107</f>
        <v>9028.7919254031731</v>
      </c>
      <c r="L41" s="5">
        <f t="shared" si="24"/>
        <v>9830.9289793829867</v>
      </c>
      <c r="M41" s="5">
        <f t="shared" si="24"/>
        <v>11740.445968746822</v>
      </c>
      <c r="N41" s="5">
        <f t="shared" si="24"/>
        <v>13586.529766451296</v>
      </c>
    </row>
    <row r="42" spans="2:14" outlineLevel="1">
      <c r="B42" t="s">
        <v>22</v>
      </c>
      <c r="E42" s="4">
        <v>3587</v>
      </c>
      <c r="F42" s="4">
        <v>4423</v>
      </c>
      <c r="G42" s="4">
        <v>3234</v>
      </c>
      <c r="H42" s="4">
        <v>1722</v>
      </c>
      <c r="I42" s="4">
        <v>1687</v>
      </c>
      <c r="J42" s="5">
        <f>AVERAGE(G42:I42)</f>
        <v>2214.3333333333335</v>
      </c>
      <c r="K42" s="5">
        <f t="shared" ref="K42:N42" si="25">AVERAGE(H42:J42)</f>
        <v>1874.4444444444446</v>
      </c>
      <c r="L42" s="5">
        <f t="shared" si="25"/>
        <v>1925.2592592592594</v>
      </c>
      <c r="M42" s="5">
        <f t="shared" si="25"/>
        <v>2004.6790123456792</v>
      </c>
      <c r="N42" s="5">
        <f t="shared" si="25"/>
        <v>1934.7942386831276</v>
      </c>
    </row>
    <row r="43" spans="2:14" outlineLevel="1">
      <c r="B43" t="s">
        <v>23</v>
      </c>
      <c r="E43" s="4">
        <v>4463</v>
      </c>
      <c r="F43" s="4">
        <v>4667</v>
      </c>
      <c r="G43" s="4">
        <v>4131</v>
      </c>
      <c r="H43" s="4">
        <v>4427</v>
      </c>
      <c r="I43" s="4">
        <v>4717</v>
      </c>
      <c r="J43" s="5">
        <f>J22*J12/J16</f>
        <v>3972.4240821917811</v>
      </c>
      <c r="K43" s="5">
        <f t="shared" ref="K43:N43" si="26">K22*K12/K16</f>
        <v>4250.4937679452059</v>
      </c>
      <c r="L43" s="5">
        <f t="shared" si="26"/>
        <v>4590.5332693808223</v>
      </c>
      <c r="M43" s="5">
        <f t="shared" si="26"/>
        <v>5003.681263625097</v>
      </c>
      <c r="N43" s="5">
        <f t="shared" si="26"/>
        <v>5454.0125773513564</v>
      </c>
    </row>
    <row r="44" spans="2:14" outlineLevel="1">
      <c r="B44" t="s">
        <v>24</v>
      </c>
      <c r="E44" s="4">
        <v>6854</v>
      </c>
      <c r="F44" s="4">
        <v>8420</v>
      </c>
      <c r="G44" s="4">
        <v>8454</v>
      </c>
      <c r="H44" s="4">
        <v>7519</v>
      </c>
      <c r="I44" s="4">
        <v>7489</v>
      </c>
      <c r="J44" s="36">
        <f>J23*J13/J16</f>
        <v>7060.6634493150686</v>
      </c>
      <c r="K44" s="36">
        <f t="shared" ref="K44:N44" si="27">K23*K13/K16</f>
        <v>7140.8295301479466</v>
      </c>
      <c r="L44" s="36">
        <f t="shared" si="27"/>
        <v>7196.7715126421926</v>
      </c>
      <c r="M44" s="36">
        <f t="shared" si="27"/>
        <v>7553.9446173436954</v>
      </c>
      <c r="N44" s="36">
        <f t="shared" si="27"/>
        <v>8233.7996329046273</v>
      </c>
    </row>
    <row r="45" spans="2:14" outlineLevel="1">
      <c r="B45" t="s">
        <v>25</v>
      </c>
      <c r="E45" s="4">
        <v>1498</v>
      </c>
      <c r="F45" s="4">
        <v>2129</v>
      </c>
      <c r="G45" s="4">
        <v>1942</v>
      </c>
      <c r="H45" s="4">
        <v>1854</v>
      </c>
      <c r="I45" s="4">
        <v>2005</v>
      </c>
      <c r="J45" s="5">
        <f>AVERAGE(G45:I45)</f>
        <v>1933.6666666666667</v>
      </c>
      <c r="K45" s="5">
        <f t="shared" ref="K45:N45" si="28">AVERAGE(H45:J45)</f>
        <v>1930.8888888888889</v>
      </c>
      <c r="L45" s="5">
        <f t="shared" si="28"/>
        <v>1956.5185185185185</v>
      </c>
      <c r="M45" s="5">
        <f t="shared" si="28"/>
        <v>1940.358024691358</v>
      </c>
      <c r="N45" s="5">
        <f t="shared" si="28"/>
        <v>1942.5884773662553</v>
      </c>
    </row>
    <row r="46" spans="2:14" ht="15" outlineLevel="1">
      <c r="B46" s="8" t="s">
        <v>26</v>
      </c>
      <c r="C46" s="8"/>
      <c r="D46" s="8"/>
      <c r="E46" s="9">
        <v>26291</v>
      </c>
      <c r="F46" s="9">
        <v>28213</v>
      </c>
      <c r="G46" s="9">
        <v>25202</v>
      </c>
      <c r="H46" s="9">
        <v>25382</v>
      </c>
      <c r="I46" s="9">
        <v>23362</v>
      </c>
      <c r="J46" s="10">
        <f>SUM(J41:J45)</f>
        <v>22561.120572326687</v>
      </c>
      <c r="K46" s="10">
        <f t="shared" ref="K46:N46" si="29">SUM(K41:K45)</f>
        <v>24225.448556829659</v>
      </c>
      <c r="L46" s="10">
        <f t="shared" si="29"/>
        <v>25500.011539183779</v>
      </c>
      <c r="M46" s="10">
        <f t="shared" si="29"/>
        <v>28243.108886752652</v>
      </c>
      <c r="N46" s="10">
        <f t="shared" si="29"/>
        <v>31151.724692756659</v>
      </c>
    </row>
    <row r="47" spans="2:14" outlineLevel="1">
      <c r="B47" t="s">
        <v>27</v>
      </c>
      <c r="E47" s="4">
        <v>4904</v>
      </c>
      <c r="F47" s="4">
        <v>4791</v>
      </c>
      <c r="G47" s="4">
        <v>5081</v>
      </c>
      <c r="H47" s="4">
        <v>5000</v>
      </c>
      <c r="I47" s="4">
        <v>4828</v>
      </c>
      <c r="J47" s="5">
        <f>J124</f>
        <v>4456.8552706310811</v>
      </c>
      <c r="K47" s="5">
        <f t="shared" ref="K47:N47" si="30">K124</f>
        <v>5256.410232904761</v>
      </c>
      <c r="L47" s="5">
        <f t="shared" si="30"/>
        <v>6053.1965458414106</v>
      </c>
      <c r="M47" s="5">
        <f t="shared" si="30"/>
        <v>6878.2216756894322</v>
      </c>
      <c r="N47" s="5">
        <f t="shared" si="30"/>
        <v>7727.0063682756136</v>
      </c>
    </row>
    <row r="48" spans="2:14" outlineLevel="1">
      <c r="B48" t="s">
        <v>28</v>
      </c>
      <c r="E48" s="4">
        <v>3113</v>
      </c>
      <c r="F48" s="4">
        <v>2926</v>
      </c>
      <c r="G48" s="4">
        <v>2923</v>
      </c>
      <c r="H48" s="4">
        <v>2718</v>
      </c>
      <c r="I48" s="4">
        <v>2712</v>
      </c>
      <c r="J48" s="5">
        <f>AVERAGE(G48:I48)</f>
        <v>2784.3333333333335</v>
      </c>
      <c r="K48" s="5">
        <f t="shared" ref="K48:N48" si="31">AVERAGE(H48:J48)</f>
        <v>2738.1111111111113</v>
      </c>
      <c r="L48" s="5">
        <f t="shared" si="31"/>
        <v>2744.8148148148152</v>
      </c>
      <c r="M48" s="5">
        <f t="shared" si="31"/>
        <v>2755.7530864197538</v>
      </c>
      <c r="N48" s="5">
        <f t="shared" si="31"/>
        <v>2746.2263374485606</v>
      </c>
    </row>
    <row r="49" spans="2:14" outlineLevel="1">
      <c r="B49" t="s">
        <v>29</v>
      </c>
      <c r="E49" s="4">
        <v>269</v>
      </c>
      <c r="F49" s="4">
        <v>286</v>
      </c>
      <c r="G49" s="4">
        <v>274</v>
      </c>
      <c r="H49" s="4">
        <v>259</v>
      </c>
      <c r="I49" s="4">
        <v>259</v>
      </c>
      <c r="J49" s="42">
        <v>300</v>
      </c>
      <c r="K49" s="42">
        <v>300</v>
      </c>
      <c r="L49" s="42">
        <v>300</v>
      </c>
      <c r="M49" s="42">
        <v>300</v>
      </c>
      <c r="N49" s="42">
        <v>300</v>
      </c>
    </row>
    <row r="50" spans="2:14" outlineLevel="1">
      <c r="B50" t="s">
        <v>30</v>
      </c>
      <c r="E50" s="4">
        <v>242</v>
      </c>
      <c r="F50" s="4">
        <v>284</v>
      </c>
      <c r="G50" s="4">
        <v>281</v>
      </c>
      <c r="H50" s="4">
        <v>240</v>
      </c>
      <c r="I50" s="4">
        <v>240</v>
      </c>
      <c r="J50" s="5">
        <v>340</v>
      </c>
      <c r="K50" s="5">
        <v>240</v>
      </c>
      <c r="L50" s="5">
        <v>240</v>
      </c>
      <c r="M50" s="5">
        <v>240</v>
      </c>
      <c r="N50" s="5">
        <v>240</v>
      </c>
    </row>
    <row r="51" spans="2:14" outlineLevel="1">
      <c r="B51" t="s">
        <v>31</v>
      </c>
      <c r="E51" s="4">
        <v>2921</v>
      </c>
      <c r="F51" s="4">
        <v>3821</v>
      </c>
      <c r="G51" s="4">
        <v>3770</v>
      </c>
      <c r="H51" s="4">
        <v>4511</v>
      </c>
      <c r="I51" s="4">
        <v>5178</v>
      </c>
      <c r="J51" s="5">
        <f>AVERAGE(G51:I51)</f>
        <v>4486.333333333333</v>
      </c>
      <c r="K51" s="5">
        <f t="shared" ref="K51:N51" si="32">AVERAGE(H51:J51)</f>
        <v>4725.1111111111104</v>
      </c>
      <c r="L51" s="5">
        <f t="shared" si="32"/>
        <v>4796.4814814814808</v>
      </c>
      <c r="M51" s="5">
        <f t="shared" si="32"/>
        <v>4669.3086419753081</v>
      </c>
      <c r="N51" s="5">
        <f t="shared" si="32"/>
        <v>4730.3004115226331</v>
      </c>
    </row>
    <row r="52" spans="2:14" ht="15" outlineLevel="1">
      <c r="B52" s="8" t="s">
        <v>32</v>
      </c>
      <c r="C52" s="8"/>
      <c r="D52" s="8"/>
      <c r="E52" s="9">
        <v>37740</v>
      </c>
      <c r="F52" s="9">
        <v>40321</v>
      </c>
      <c r="G52" s="9">
        <v>37531</v>
      </c>
      <c r="H52" s="9">
        <v>38110</v>
      </c>
      <c r="I52" s="9">
        <v>36579</v>
      </c>
      <c r="J52" s="10">
        <f>J46+SUM(J47:J51)</f>
        <v>34928.642509624435</v>
      </c>
      <c r="K52" s="10">
        <f t="shared" ref="K52:N52" si="33">K46+SUM(K47:K51)</f>
        <v>37485.081011956645</v>
      </c>
      <c r="L52" s="10">
        <f t="shared" si="33"/>
        <v>39634.504381321487</v>
      </c>
      <c r="M52" s="10">
        <f t="shared" si="33"/>
        <v>43086.392290837146</v>
      </c>
      <c r="N52" s="10">
        <f t="shared" si="33"/>
        <v>46895.257810003466</v>
      </c>
    </row>
    <row r="55" spans="2:14" ht="15">
      <c r="B55" s="21" t="s">
        <v>33</v>
      </c>
      <c r="C55" s="21" t="s">
        <v>33</v>
      </c>
      <c r="D55" s="21" t="s">
        <v>33</v>
      </c>
      <c r="E55" s="21" t="s">
        <v>33</v>
      </c>
      <c r="F55" s="21" t="s">
        <v>33</v>
      </c>
      <c r="G55" s="21" t="s">
        <v>33</v>
      </c>
      <c r="H55" s="21" t="s">
        <v>33</v>
      </c>
      <c r="I55" s="21" t="s">
        <v>33</v>
      </c>
      <c r="J55" s="21" t="s">
        <v>33</v>
      </c>
      <c r="K55" s="21" t="s">
        <v>33</v>
      </c>
      <c r="L55" s="21" t="s">
        <v>33</v>
      </c>
      <c r="M55" s="21" t="s">
        <v>33</v>
      </c>
      <c r="N55" s="21" t="s">
        <v>33</v>
      </c>
    </row>
    <row r="56" spans="2:14" outlineLevel="1">
      <c r="B56" t="s">
        <v>34</v>
      </c>
      <c r="E56" s="4">
        <v>0</v>
      </c>
      <c r="F56" s="4">
        <v>500</v>
      </c>
      <c r="G56" s="4">
        <v>0</v>
      </c>
      <c r="H56" s="4">
        <v>1000</v>
      </c>
      <c r="I56" s="4">
        <v>0</v>
      </c>
      <c r="J56" s="5">
        <v>1000</v>
      </c>
      <c r="K56" s="5">
        <v>1000</v>
      </c>
      <c r="L56" s="5">
        <v>0</v>
      </c>
      <c r="M56" s="5">
        <v>0</v>
      </c>
      <c r="N56" s="5">
        <v>1500</v>
      </c>
    </row>
    <row r="57" spans="2:14" outlineLevel="1">
      <c r="B57" t="s">
        <v>35</v>
      </c>
      <c r="E57" s="4">
        <v>2</v>
      </c>
      <c r="F57" s="4">
        <v>10</v>
      </c>
      <c r="G57" s="4">
        <v>6</v>
      </c>
      <c r="H57" s="4">
        <v>6</v>
      </c>
      <c r="I57" s="4">
        <v>5</v>
      </c>
      <c r="J57" s="5">
        <v>5</v>
      </c>
      <c r="K57" s="5">
        <v>5</v>
      </c>
      <c r="L57" s="5">
        <v>5</v>
      </c>
      <c r="M57" s="5">
        <v>5</v>
      </c>
      <c r="N57" s="5">
        <v>5</v>
      </c>
    </row>
    <row r="58" spans="2:14" outlineLevel="1">
      <c r="B58" t="s">
        <v>36</v>
      </c>
      <c r="E58" s="4">
        <v>2836</v>
      </c>
      <c r="F58" s="4">
        <v>3358</v>
      </c>
      <c r="G58" s="4">
        <v>2862</v>
      </c>
      <c r="H58" s="4">
        <v>2851</v>
      </c>
      <c r="I58" s="4">
        <v>3479</v>
      </c>
      <c r="J58" s="5">
        <f>J23*J14/J16</f>
        <v>2972.9109260273972</v>
      </c>
      <c r="K58" s="5">
        <f t="shared" ref="K58:N58" si="34">K23*K14/K16</f>
        <v>3071.3245290958907</v>
      </c>
      <c r="L58" s="5">
        <f t="shared" si="34"/>
        <v>3198.5651167298633</v>
      </c>
      <c r="M58" s="5">
        <f t="shared" si="34"/>
        <v>3357.3087188194199</v>
      </c>
      <c r="N58" s="5">
        <f t="shared" si="34"/>
        <v>3659.4665035131675</v>
      </c>
    </row>
    <row r="59" spans="2:14" outlineLevel="1">
      <c r="B59" t="s">
        <v>37</v>
      </c>
      <c r="E59" s="4">
        <v>467</v>
      </c>
      <c r="F59" s="4">
        <v>420</v>
      </c>
      <c r="G59" s="4">
        <v>425</v>
      </c>
      <c r="H59" s="4">
        <v>477</v>
      </c>
      <c r="I59" s="4">
        <v>502</v>
      </c>
      <c r="J59" s="5">
        <f>AVERAGE(G59:I59)</f>
        <v>468</v>
      </c>
      <c r="K59" s="5">
        <f t="shared" ref="K59:N59" si="35">AVERAGE(H59:J59)</f>
        <v>482.33333333333331</v>
      </c>
      <c r="L59" s="5">
        <f t="shared" si="35"/>
        <v>484.11111111111109</v>
      </c>
      <c r="M59" s="5">
        <f t="shared" si="35"/>
        <v>478.1481481481481</v>
      </c>
      <c r="N59" s="5">
        <f t="shared" si="35"/>
        <v>481.53086419753078</v>
      </c>
    </row>
    <row r="60" spans="2:14" outlineLevel="1">
      <c r="B60" t="s">
        <v>38</v>
      </c>
      <c r="E60" s="4">
        <v>6063</v>
      </c>
      <c r="F60" s="4">
        <v>6220</v>
      </c>
      <c r="G60" s="4">
        <v>5723</v>
      </c>
      <c r="H60" s="4">
        <v>5725</v>
      </c>
      <c r="I60" s="4">
        <v>5911</v>
      </c>
      <c r="J60" s="5">
        <f>AVERAGE(G60:I60)</f>
        <v>5786.333333333333</v>
      </c>
      <c r="K60" s="5">
        <f t="shared" ref="K60:N60" si="36">AVERAGE(H60:J60)</f>
        <v>5807.4444444444443</v>
      </c>
      <c r="L60" s="5">
        <f t="shared" si="36"/>
        <v>5834.9259259259261</v>
      </c>
      <c r="M60" s="5">
        <f t="shared" si="36"/>
        <v>5809.5679012345681</v>
      </c>
      <c r="N60" s="5">
        <f t="shared" si="36"/>
        <v>5817.3127572016456</v>
      </c>
    </row>
    <row r="61" spans="2:14" outlineLevel="1">
      <c r="B61" t="s">
        <v>39</v>
      </c>
      <c r="E61" s="4">
        <v>306</v>
      </c>
      <c r="F61" s="4">
        <v>222</v>
      </c>
      <c r="G61" s="4">
        <v>240</v>
      </c>
      <c r="H61" s="4">
        <v>534</v>
      </c>
      <c r="I61" s="4">
        <v>669</v>
      </c>
      <c r="J61" s="5">
        <f>AVERAGE(G61:I61)</f>
        <v>481</v>
      </c>
      <c r="K61" s="5">
        <f t="shared" ref="K61:N61" si="37">AVERAGE(H61:J61)</f>
        <v>561.33333333333337</v>
      </c>
      <c r="L61" s="5">
        <f t="shared" si="37"/>
        <v>570.44444444444446</v>
      </c>
      <c r="M61" s="5">
        <f t="shared" si="37"/>
        <v>537.59259259259261</v>
      </c>
      <c r="N61" s="5">
        <f t="shared" si="37"/>
        <v>556.45679012345681</v>
      </c>
    </row>
    <row r="62" spans="2:14" ht="15" outlineLevel="1">
      <c r="B62" s="8" t="s">
        <v>40</v>
      </c>
      <c r="C62" s="8"/>
      <c r="D62" s="8"/>
      <c r="E62" s="9">
        <v>9674</v>
      </c>
      <c r="F62" s="9">
        <v>10730</v>
      </c>
      <c r="G62" s="9">
        <v>9256</v>
      </c>
      <c r="H62" s="9">
        <v>10593</v>
      </c>
      <c r="I62" s="9">
        <v>10566</v>
      </c>
      <c r="J62" s="10">
        <f>SUM(J56:J61)</f>
        <v>10713.24425936073</v>
      </c>
      <c r="K62" s="10">
        <f t="shared" ref="K62:N62" si="38">SUM(K56:K61)</f>
        <v>10927.435640207003</v>
      </c>
      <c r="L62" s="10">
        <f t="shared" si="38"/>
        <v>10093.046598211346</v>
      </c>
      <c r="M62" s="10">
        <f t="shared" si="38"/>
        <v>10187.617360794729</v>
      </c>
      <c r="N62" s="10">
        <f t="shared" si="38"/>
        <v>12019.7669150358</v>
      </c>
    </row>
    <row r="63" spans="2:14" outlineLevel="1">
      <c r="B63" t="s">
        <v>41</v>
      </c>
      <c r="E63" s="4">
        <v>9413</v>
      </c>
      <c r="F63" s="4">
        <v>8920</v>
      </c>
      <c r="G63" s="4">
        <v>8927</v>
      </c>
      <c r="H63" s="4">
        <v>7903</v>
      </c>
      <c r="I63" s="4">
        <v>7961</v>
      </c>
      <c r="J63" s="5">
        <f>J130</f>
        <v>7008</v>
      </c>
      <c r="K63" s="5">
        <f t="shared" ref="K63:N63" si="39">K130</f>
        <v>7007</v>
      </c>
      <c r="L63" s="5">
        <f t="shared" si="39"/>
        <v>7007</v>
      </c>
      <c r="M63" s="5">
        <f t="shared" si="39"/>
        <v>6507</v>
      </c>
      <c r="N63" s="5">
        <f t="shared" si="39"/>
        <v>6518</v>
      </c>
    </row>
    <row r="64" spans="2:14" outlineLevel="1">
      <c r="B64" t="s">
        <v>42</v>
      </c>
      <c r="E64" s="4">
        <v>2931</v>
      </c>
      <c r="F64" s="4">
        <v>2777</v>
      </c>
      <c r="G64" s="4">
        <v>2786</v>
      </c>
      <c r="H64" s="4">
        <v>2566</v>
      </c>
      <c r="I64" s="4">
        <v>2550</v>
      </c>
      <c r="J64" s="5">
        <f>AVERAGE(G64:I64)</f>
        <v>2634</v>
      </c>
      <c r="K64" s="5">
        <f t="shared" ref="K64:N64" si="40">AVERAGE(H64:J64)</f>
        <v>2583.3333333333335</v>
      </c>
      <c r="L64" s="5">
        <f t="shared" si="40"/>
        <v>2589.1111111111113</v>
      </c>
      <c r="M64" s="5">
        <f t="shared" si="40"/>
        <v>2602.1481481481483</v>
      </c>
      <c r="N64" s="5">
        <f t="shared" si="40"/>
        <v>2591.5308641975312</v>
      </c>
    </row>
    <row r="65" spans="2:14" outlineLevel="1">
      <c r="B65" t="s">
        <v>43</v>
      </c>
      <c r="E65" s="4">
        <v>2955</v>
      </c>
      <c r="F65" s="4">
        <v>2613</v>
      </c>
      <c r="G65" s="4">
        <v>2558</v>
      </c>
      <c r="H65" s="4">
        <v>2618</v>
      </c>
      <c r="I65" s="4">
        <v>2289</v>
      </c>
      <c r="J65" s="5">
        <f>AVERAGE(G65:I65)</f>
        <v>2488.3333333333335</v>
      </c>
      <c r="K65" s="5">
        <f t="shared" ref="K65:N65" si="41">AVERAGE(H65:J65)</f>
        <v>2465.1111111111113</v>
      </c>
      <c r="L65" s="5">
        <f t="shared" si="41"/>
        <v>2414.1481481481483</v>
      </c>
      <c r="M65" s="5">
        <f t="shared" si="41"/>
        <v>2455.8641975308642</v>
      </c>
      <c r="N65" s="5">
        <f t="shared" si="41"/>
        <v>2445.0411522633744</v>
      </c>
    </row>
    <row r="66" spans="2:14" ht="15" outlineLevel="1">
      <c r="B66" s="8" t="s">
        <v>44</v>
      </c>
      <c r="C66" s="8"/>
      <c r="D66" s="8"/>
      <c r="E66" s="10">
        <f>E62+E63+E64+E65</f>
        <v>24973</v>
      </c>
      <c r="F66" s="10">
        <f>F62+F63+F64+F65</f>
        <v>25040</v>
      </c>
      <c r="G66" s="10">
        <f>G62+G63+G64+G65</f>
        <v>23527</v>
      </c>
      <c r="H66" s="10">
        <f>H62+H63+H64+H65</f>
        <v>23680</v>
      </c>
      <c r="I66" s="10">
        <f>I62+I63+I64+I65</f>
        <v>23366</v>
      </c>
      <c r="J66" s="10">
        <f>J62+SUM(J63:J65)</f>
        <v>22843.577592694062</v>
      </c>
      <c r="K66" s="10">
        <f t="shared" ref="K66:N66" si="42">K62+SUM(K63:K65)</f>
        <v>22982.88008465145</v>
      </c>
      <c r="L66" s="10">
        <f t="shared" si="42"/>
        <v>22103.305857470605</v>
      </c>
      <c r="M66" s="10">
        <f t="shared" si="42"/>
        <v>21752.629706473741</v>
      </c>
      <c r="N66" s="10">
        <f t="shared" si="42"/>
        <v>23574.338931496706</v>
      </c>
    </row>
    <row r="69" spans="2:14" ht="15">
      <c r="B69" s="21" t="s">
        <v>45</v>
      </c>
      <c r="C69" s="21" t="s">
        <v>45</v>
      </c>
      <c r="D69" s="21" t="s">
        <v>45</v>
      </c>
      <c r="E69" s="21" t="s">
        <v>45</v>
      </c>
      <c r="F69" s="21" t="s">
        <v>45</v>
      </c>
      <c r="G69" s="21" t="s">
        <v>45</v>
      </c>
      <c r="H69" s="21" t="s">
        <v>45</v>
      </c>
      <c r="I69" s="21" t="s">
        <v>45</v>
      </c>
      <c r="J69" s="21" t="s">
        <v>45</v>
      </c>
      <c r="K69" s="21" t="s">
        <v>45</v>
      </c>
      <c r="L69" s="21" t="s">
        <v>45</v>
      </c>
      <c r="M69" s="21" t="s">
        <v>45</v>
      </c>
      <c r="N69" s="21" t="s">
        <v>45</v>
      </c>
    </row>
    <row r="70" spans="2:14" hidden="1" outlineLevel="1">
      <c r="B70" t="s">
        <v>46</v>
      </c>
      <c r="E70" s="4">
        <v>3</v>
      </c>
      <c r="F70" s="4">
        <v>3</v>
      </c>
      <c r="G70" s="4">
        <v>3</v>
      </c>
      <c r="H70" s="4">
        <v>3</v>
      </c>
      <c r="I70" s="4">
        <v>3</v>
      </c>
      <c r="J70" s="5">
        <v>3</v>
      </c>
      <c r="K70" s="5">
        <v>3</v>
      </c>
      <c r="L70" s="5">
        <v>3</v>
      </c>
      <c r="M70" s="5">
        <v>3</v>
      </c>
      <c r="N70" s="5">
        <v>3</v>
      </c>
    </row>
    <row r="71" spans="2:14" hidden="1" outlineLevel="1">
      <c r="B71" t="s">
        <v>47</v>
      </c>
      <c r="E71" s="4">
        <v>9965</v>
      </c>
      <c r="F71" s="4">
        <v>11484</v>
      </c>
      <c r="G71" s="4">
        <v>12412</v>
      </c>
      <c r="H71" s="4">
        <v>13409</v>
      </c>
      <c r="I71" s="4">
        <v>14195</v>
      </c>
      <c r="J71" s="5">
        <f>I71*(1+0.06)</f>
        <v>15046.7</v>
      </c>
      <c r="K71" s="5">
        <f>J71*(1+7%)</f>
        <v>16099.969000000001</v>
      </c>
      <c r="L71" s="5">
        <f>K71*(1+7%)</f>
        <v>17226.966830000001</v>
      </c>
      <c r="M71" s="5">
        <f>L71*(1+9.3%)</f>
        <v>18829.074745190002</v>
      </c>
      <c r="N71" s="5">
        <f>M71*(1+9.3%)</f>
        <v>20580.178696492672</v>
      </c>
    </row>
    <row r="72" spans="2:14" hidden="1" outlineLevel="1">
      <c r="B72" t="s">
        <v>48</v>
      </c>
      <c r="E72" s="4">
        <v>-380</v>
      </c>
      <c r="F72" s="4">
        <v>318</v>
      </c>
      <c r="G72" s="4">
        <v>231</v>
      </c>
      <c r="H72" s="4">
        <v>53</v>
      </c>
      <c r="I72" s="4">
        <v>-258</v>
      </c>
      <c r="J72" s="5">
        <v>-258</v>
      </c>
      <c r="K72" s="5">
        <v>-258</v>
      </c>
      <c r="L72" s="5">
        <v>-258</v>
      </c>
      <c r="M72" s="5">
        <v>-258</v>
      </c>
      <c r="N72" s="5">
        <v>-258</v>
      </c>
    </row>
    <row r="73" spans="2:14" hidden="1" outlineLevel="1">
      <c r="B73" t="s">
        <v>49</v>
      </c>
      <c r="E73" s="4">
        <v>3179</v>
      </c>
      <c r="F73" s="4">
        <v>3476</v>
      </c>
      <c r="G73" s="4">
        <v>1358</v>
      </c>
      <c r="H73" s="4">
        <v>965</v>
      </c>
      <c r="I73" s="4">
        <v>-727</v>
      </c>
      <c r="J73" s="5">
        <f>I73+J33</f>
        <v>2001.4033550000031</v>
      </c>
      <c r="K73" s="5">
        <f t="shared" ref="K73:N73" si="43">J73+K33</f>
        <v>5350.0216234000027</v>
      </c>
      <c r="L73" s="5">
        <f t="shared" si="43"/>
        <v>9889.7379357400023</v>
      </c>
      <c r="M73" s="5">
        <f t="shared" si="43"/>
        <v>15852.978724280722</v>
      </c>
      <c r="N73" s="5">
        <f t="shared" si="43"/>
        <v>22356.865893790113</v>
      </c>
    </row>
    <row r="74" spans="2:14" ht="15" hidden="1" outlineLevel="1">
      <c r="B74" s="8" t="s">
        <v>50</v>
      </c>
      <c r="C74" s="8"/>
      <c r="D74" s="8"/>
      <c r="E74" s="9">
        <v>12767</v>
      </c>
      <c r="F74" s="9">
        <v>15281</v>
      </c>
      <c r="G74" s="9">
        <v>14004</v>
      </c>
      <c r="H74" s="9">
        <v>14430</v>
      </c>
      <c r="I74" s="9">
        <v>13213</v>
      </c>
      <c r="J74" s="10">
        <f>SUM(J70:J73)</f>
        <v>16793.103355000003</v>
      </c>
      <c r="K74" s="10">
        <f t="shared" ref="K74:N74" si="44">SUM(K70:K73)</f>
        <v>21194.990623400005</v>
      </c>
      <c r="L74" s="10">
        <f t="shared" si="44"/>
        <v>26861.704765740003</v>
      </c>
      <c r="M74" s="10">
        <f t="shared" si="44"/>
        <v>34427.053469470724</v>
      </c>
      <c r="N74" s="10">
        <f t="shared" si="44"/>
        <v>42682.044590282785</v>
      </c>
    </row>
    <row r="75" spans="2:14" ht="15" hidden="1" outlineLevel="1">
      <c r="B75" s="8" t="s">
        <v>51</v>
      </c>
      <c r="C75" s="8"/>
      <c r="D75" s="8"/>
      <c r="E75" s="9">
        <v>37740</v>
      </c>
      <c r="F75" s="9">
        <v>40321</v>
      </c>
      <c r="G75" s="9">
        <v>37531</v>
      </c>
      <c r="H75" s="9">
        <v>38110</v>
      </c>
      <c r="I75" s="9">
        <v>36579</v>
      </c>
      <c r="J75" s="10">
        <f>J66+J74</f>
        <v>39636.680947694069</v>
      </c>
      <c r="K75" s="10">
        <f t="shared" ref="K75:N75" si="45">K66+K74</f>
        <v>44177.870708051458</v>
      </c>
      <c r="L75" s="10">
        <f t="shared" si="45"/>
        <v>48965.010623210605</v>
      </c>
      <c r="M75" s="10">
        <f t="shared" si="45"/>
        <v>56179.683175944461</v>
      </c>
      <c r="N75" s="10">
        <f t="shared" si="45"/>
        <v>66256.383521779499</v>
      </c>
    </row>
    <row r="76" spans="2:14" ht="15" hidden="1" outlineLevel="1">
      <c r="B76" s="6" t="s">
        <v>52</v>
      </c>
      <c r="C76" s="6"/>
      <c r="D76" s="6"/>
      <c r="E76" s="7">
        <f>E52-E75</f>
        <v>0</v>
      </c>
      <c r="F76" s="7">
        <f>F52-F75</f>
        <v>0</v>
      </c>
      <c r="G76" s="7">
        <f>G52-G75</f>
        <v>0</v>
      </c>
      <c r="H76" s="7">
        <f>H52-H75</f>
        <v>0</v>
      </c>
      <c r="I76" s="7">
        <f>I52-I75</f>
        <v>0</v>
      </c>
      <c r="J76" s="7">
        <f t="shared" ref="J76:N76" si="46">J52-J75</f>
        <v>-4708.0384380696341</v>
      </c>
      <c r="K76" s="7">
        <f t="shared" si="46"/>
        <v>-6692.7896960948128</v>
      </c>
      <c r="L76" s="7">
        <f t="shared" si="46"/>
        <v>-9330.5062418891175</v>
      </c>
      <c r="M76" s="7">
        <f t="shared" si="46"/>
        <v>-13093.290885107315</v>
      </c>
      <c r="N76" s="7">
        <f t="shared" si="46"/>
        <v>-19361.125711776032</v>
      </c>
    </row>
    <row r="77" spans="2:14" collapsed="1"/>
    <row r="79" spans="2:14" ht="15">
      <c r="B79" s="21" t="s">
        <v>53</v>
      </c>
      <c r="C79" s="21" t="s">
        <v>53</v>
      </c>
      <c r="D79" s="21" t="s">
        <v>53</v>
      </c>
      <c r="E79" s="21" t="s">
        <v>53</v>
      </c>
      <c r="F79" s="21" t="s">
        <v>53</v>
      </c>
      <c r="G79" s="21" t="s">
        <v>53</v>
      </c>
      <c r="H79" s="21" t="s">
        <v>53</v>
      </c>
      <c r="I79" s="21" t="s">
        <v>53</v>
      </c>
      <c r="J79" s="21" t="s">
        <v>53</v>
      </c>
      <c r="K79" s="21" t="s">
        <v>53</v>
      </c>
      <c r="L79" s="21" t="s">
        <v>53</v>
      </c>
      <c r="M79" s="21" t="s">
        <v>53</v>
      </c>
      <c r="N79" s="21" t="s">
        <v>53</v>
      </c>
    </row>
    <row r="80" spans="2:14" outlineLevel="1">
      <c r="B80" t="s">
        <v>15</v>
      </c>
      <c r="E80" s="4">
        <v>5727</v>
      </c>
      <c r="F80" s="4">
        <v>6046</v>
      </c>
      <c r="G80" s="4">
        <v>5070</v>
      </c>
      <c r="H80" s="4">
        <v>5700</v>
      </c>
      <c r="I80" s="4">
        <v>3219</v>
      </c>
      <c r="J80" s="5">
        <f>J33</f>
        <v>2728.4033550000031</v>
      </c>
      <c r="K80" s="5">
        <f t="shared" ref="K80:N80" si="47">K33</f>
        <v>3348.6182683999996</v>
      </c>
      <c r="L80" s="5">
        <f t="shared" si="47"/>
        <v>4539.7163123399996</v>
      </c>
      <c r="M80" s="5">
        <f t="shared" si="47"/>
        <v>5963.2407885407192</v>
      </c>
      <c r="N80" s="5">
        <f t="shared" si="47"/>
        <v>6503.8871695093903</v>
      </c>
    </row>
    <row r="81" spans="2:14" outlineLevel="1">
      <c r="B81" t="s">
        <v>54</v>
      </c>
      <c r="E81" s="4">
        <v>744</v>
      </c>
      <c r="F81" s="4">
        <v>717</v>
      </c>
      <c r="G81" s="4">
        <v>703</v>
      </c>
      <c r="H81" s="4">
        <v>796</v>
      </c>
      <c r="I81" s="4">
        <v>775</v>
      </c>
      <c r="J81" s="5">
        <f>J123</f>
        <v>550.30742936891841</v>
      </c>
      <c r="K81" s="5">
        <f t="shared" ref="K81:N81" si="48">K123</f>
        <v>701.82912672632051</v>
      </c>
      <c r="L81" s="5">
        <f t="shared" si="48"/>
        <v>824.70850318335033</v>
      </c>
      <c r="M81" s="5">
        <f t="shared" si="48"/>
        <v>942.40421972277932</v>
      </c>
      <c r="N81" s="5">
        <f t="shared" si="48"/>
        <v>1077.7132984459913</v>
      </c>
    </row>
    <row r="82" spans="2:14" outlineLevel="1">
      <c r="B82" t="s">
        <v>55</v>
      </c>
      <c r="E82" s="4">
        <v>-385</v>
      </c>
      <c r="F82" s="4">
        <v>-650</v>
      </c>
      <c r="G82" s="4">
        <v>-117</v>
      </c>
      <c r="H82" s="4">
        <v>-497</v>
      </c>
      <c r="I82" s="4">
        <v>-288</v>
      </c>
      <c r="J82" s="5">
        <f>-J80*5%</f>
        <v>-136.42016775000016</v>
      </c>
      <c r="K82" s="5">
        <f t="shared" ref="K82:N82" si="49">-K80*5%</f>
        <v>-167.43091342</v>
      </c>
      <c r="L82" s="5">
        <f t="shared" si="49"/>
        <v>-226.98581561699999</v>
      </c>
      <c r="M82" s="5">
        <f t="shared" si="49"/>
        <v>-298.16203942703595</v>
      </c>
      <c r="N82" s="5">
        <f t="shared" si="49"/>
        <v>-325.19435847546953</v>
      </c>
    </row>
    <row r="83" spans="2:14" outlineLevel="1">
      <c r="B83" t="s">
        <v>56</v>
      </c>
      <c r="E83" s="4">
        <v>611</v>
      </c>
      <c r="F83" s="4">
        <v>638</v>
      </c>
      <c r="G83" s="4">
        <v>755</v>
      </c>
      <c r="H83" s="4">
        <v>804</v>
      </c>
      <c r="I83" s="4">
        <v>709</v>
      </c>
      <c r="J83" s="5">
        <f>I83*(1+6%)</f>
        <v>751.54000000000008</v>
      </c>
      <c r="K83" s="5">
        <f t="shared" ref="K83:N83" si="50">J83*(1+6%)</f>
        <v>796.63240000000008</v>
      </c>
      <c r="L83" s="5">
        <f t="shared" si="50"/>
        <v>844.4303440000001</v>
      </c>
      <c r="M83" s="5">
        <f t="shared" si="50"/>
        <v>895.09616464000021</v>
      </c>
      <c r="N83" s="5">
        <f t="shared" si="50"/>
        <v>948.80193451840023</v>
      </c>
    </row>
    <row r="84" spans="2:14" outlineLevel="1">
      <c r="B84" t="s">
        <v>57</v>
      </c>
      <c r="E84" s="4">
        <v>53</v>
      </c>
      <c r="F84" s="4">
        <v>123</v>
      </c>
      <c r="G84" s="4">
        <v>156</v>
      </c>
      <c r="H84" s="4">
        <v>48</v>
      </c>
      <c r="I84" s="4">
        <v>33</v>
      </c>
      <c r="J84" s="5">
        <v>50</v>
      </c>
      <c r="K84" s="5">
        <v>50</v>
      </c>
      <c r="L84" s="5">
        <v>50</v>
      </c>
      <c r="M84" s="5">
        <v>50</v>
      </c>
      <c r="N84" s="5">
        <v>50</v>
      </c>
    </row>
    <row r="85" spans="2:14" outlineLevel="1">
      <c r="B85" t="s">
        <v>58</v>
      </c>
      <c r="E85" s="4">
        <v>-138</v>
      </c>
      <c r="F85" s="4">
        <v>-26</v>
      </c>
      <c r="G85" s="4">
        <v>-213</v>
      </c>
      <c r="H85" s="4">
        <v>-138</v>
      </c>
      <c r="I85" s="4">
        <v>37</v>
      </c>
      <c r="J85" s="5">
        <f>-I85*(1+5%)</f>
        <v>-38.85</v>
      </c>
      <c r="K85" s="5">
        <f>J85*(1-150%)</f>
        <v>19.425000000000001</v>
      </c>
      <c r="L85" s="5">
        <f t="shared" ref="K85:N85" si="51">K85*(1+5%)</f>
        <v>20.396250000000002</v>
      </c>
      <c r="M85" s="5">
        <f t="shared" si="51"/>
        <v>21.416062500000002</v>
      </c>
      <c r="N85" s="5">
        <f t="shared" si="51"/>
        <v>22.486865625000004</v>
      </c>
    </row>
    <row r="86" spans="2:14" outlineLevel="1">
      <c r="B86" t="s">
        <v>59</v>
      </c>
      <c r="E86" s="4">
        <v>-1606</v>
      </c>
      <c r="F86" s="4">
        <v>-504</v>
      </c>
      <c r="G86" s="4">
        <v>489</v>
      </c>
      <c r="H86" s="4">
        <v>-329</v>
      </c>
      <c r="I86" s="4">
        <v>-257</v>
      </c>
      <c r="J86" s="5">
        <f>J43-I43</f>
        <v>-744.57591780821895</v>
      </c>
      <c r="K86" s="5">
        <f t="shared" ref="K86:N86" si="52">K43-J43</f>
        <v>278.06968575342489</v>
      </c>
      <c r="L86" s="5">
        <f t="shared" si="52"/>
        <v>340.03950143561633</v>
      </c>
      <c r="M86" s="5">
        <f t="shared" si="52"/>
        <v>413.14799424427474</v>
      </c>
      <c r="N86" s="5">
        <f t="shared" si="52"/>
        <v>450.3313137262594</v>
      </c>
    </row>
    <row r="87" spans="2:14" outlineLevel="1">
      <c r="B87" t="s">
        <v>60</v>
      </c>
      <c r="E87" s="4">
        <v>507</v>
      </c>
      <c r="F87" s="4">
        <v>-1676</v>
      </c>
      <c r="G87" s="4">
        <v>-133</v>
      </c>
      <c r="H87" s="4">
        <v>908</v>
      </c>
      <c r="I87" s="4">
        <v>120</v>
      </c>
      <c r="J87" s="5">
        <f>J44-I44</f>
        <v>-428.33655068493135</v>
      </c>
      <c r="K87" s="5">
        <f t="shared" ref="K87:N87" si="53">K44-J44</f>
        <v>80.166080832877924</v>
      </c>
      <c r="L87" s="5">
        <f t="shared" si="53"/>
        <v>55.941982494246076</v>
      </c>
      <c r="M87" s="5">
        <f t="shared" si="53"/>
        <v>357.17310470150278</v>
      </c>
      <c r="N87" s="5">
        <f t="shared" si="53"/>
        <v>679.85501556093186</v>
      </c>
    </row>
    <row r="88" spans="2:14" outlineLevel="1">
      <c r="B88" t="s">
        <v>61</v>
      </c>
      <c r="E88" s="4">
        <v>-182</v>
      </c>
      <c r="F88" s="4">
        <v>-845</v>
      </c>
      <c r="G88" s="4">
        <v>-644</v>
      </c>
      <c r="H88" s="4">
        <v>-260</v>
      </c>
      <c r="I88" s="4">
        <v>-224</v>
      </c>
      <c r="J88" s="5">
        <f>J45-I45</f>
        <v>-71.333333333333258</v>
      </c>
      <c r="K88" s="5">
        <f t="shared" ref="K88:N88" si="54">K45-J45</f>
        <v>-2.7777777777778283</v>
      </c>
      <c r="L88" s="5">
        <f t="shared" si="54"/>
        <v>25.629629629629562</v>
      </c>
      <c r="M88" s="5">
        <f t="shared" si="54"/>
        <v>-16.160493827160508</v>
      </c>
      <c r="N88" s="5">
        <f t="shared" si="54"/>
        <v>2.2304526748973785</v>
      </c>
    </row>
    <row r="89" spans="2:14" outlineLevel="1">
      <c r="B89" t="s">
        <v>62</v>
      </c>
      <c r="E89" s="4">
        <v>1326</v>
      </c>
      <c r="F89" s="4">
        <v>1365</v>
      </c>
      <c r="G89" s="4">
        <v>-225</v>
      </c>
      <c r="H89" s="4">
        <v>397</v>
      </c>
      <c r="I89" s="4">
        <v>-426</v>
      </c>
      <c r="J89" s="5">
        <f>J58-I58</f>
        <v>-506.08907397260282</v>
      </c>
      <c r="K89" s="5">
        <f t="shared" ref="K89:N89" si="55">K58-J58</f>
        <v>98.413603068493558</v>
      </c>
      <c r="L89" s="5">
        <f t="shared" si="55"/>
        <v>127.24058763397261</v>
      </c>
      <c r="M89" s="5">
        <f t="shared" si="55"/>
        <v>158.74360208955659</v>
      </c>
      <c r="N89" s="5">
        <f t="shared" si="55"/>
        <v>302.15778469374754</v>
      </c>
    </row>
    <row r="90" spans="2:14" ht="15" outlineLevel="1">
      <c r="B90" s="8" t="s">
        <v>63</v>
      </c>
      <c r="C90" s="8"/>
      <c r="D90" s="8"/>
      <c r="E90" s="9">
        <v>6657</v>
      </c>
      <c r="F90" s="9">
        <v>5188</v>
      </c>
      <c r="G90" s="9">
        <v>5841</v>
      </c>
      <c r="H90" s="9">
        <v>7429</v>
      </c>
      <c r="I90" s="9">
        <v>3698</v>
      </c>
      <c r="J90" s="10">
        <f>SUM(J80:J89)</f>
        <v>2154.6457408198348</v>
      </c>
      <c r="K90" s="10">
        <f t="shared" ref="K90:N90" si="56">SUM(K80:K89)</f>
        <v>5202.9454735833388</v>
      </c>
      <c r="L90" s="10">
        <f t="shared" si="56"/>
        <v>6601.1172950998143</v>
      </c>
      <c r="M90" s="10">
        <f t="shared" si="56"/>
        <v>8486.899403184636</v>
      </c>
      <c r="N90" s="10">
        <f t="shared" si="56"/>
        <v>9712.2694762791471</v>
      </c>
    </row>
    <row r="91" spans="2:14" outlineLevel="1">
      <c r="B91" t="s">
        <v>64</v>
      </c>
      <c r="E91" s="4">
        <v>-9961</v>
      </c>
      <c r="F91" s="4">
        <v>-12913</v>
      </c>
      <c r="G91" s="4">
        <v>-6059</v>
      </c>
      <c r="H91" s="4">
        <v>-4767</v>
      </c>
      <c r="I91" s="4">
        <v>-3234</v>
      </c>
      <c r="J91" s="5">
        <v>-2200</v>
      </c>
      <c r="K91" s="5">
        <v>-2500</v>
      </c>
      <c r="L91" s="5">
        <v>-3000</v>
      </c>
      <c r="M91" s="5">
        <v>-3000</v>
      </c>
      <c r="N91" s="5">
        <v>-3000</v>
      </c>
    </row>
    <row r="92" spans="2:14" outlineLevel="1">
      <c r="B92" t="s">
        <v>65</v>
      </c>
      <c r="E92" s="4">
        <v>4236</v>
      </c>
      <c r="F92" s="4">
        <v>8199</v>
      </c>
      <c r="G92" s="4">
        <v>3356</v>
      </c>
      <c r="H92" s="4">
        <v>2269</v>
      </c>
      <c r="I92" s="4">
        <v>319</v>
      </c>
      <c r="J92" s="5">
        <v>2000</v>
      </c>
      <c r="K92" s="5">
        <v>2000</v>
      </c>
      <c r="L92" s="5">
        <v>2000</v>
      </c>
      <c r="M92" s="5">
        <v>2000</v>
      </c>
      <c r="N92" s="5">
        <v>2000</v>
      </c>
    </row>
    <row r="93" spans="2:14" outlineLevel="1">
      <c r="B93" t="s">
        <v>66</v>
      </c>
      <c r="E93" s="4">
        <v>2449</v>
      </c>
      <c r="F93" s="4">
        <v>3967</v>
      </c>
      <c r="G93" s="4">
        <v>4184</v>
      </c>
      <c r="H93" s="4">
        <v>4219</v>
      </c>
      <c r="I93" s="4">
        <v>3062</v>
      </c>
      <c r="J93" s="5">
        <v>4500</v>
      </c>
      <c r="K93" s="5">
        <v>4500</v>
      </c>
      <c r="L93" s="5">
        <v>2000</v>
      </c>
      <c r="M93" s="5">
        <v>2000</v>
      </c>
      <c r="N93" s="5">
        <v>2000</v>
      </c>
    </row>
    <row r="94" spans="2:14" outlineLevel="1">
      <c r="B94" t="s">
        <v>67</v>
      </c>
      <c r="E94" s="4">
        <v>-695</v>
      </c>
      <c r="F94" s="4">
        <v>-758</v>
      </c>
      <c r="G94" s="4">
        <v>-969</v>
      </c>
      <c r="H94" s="4">
        <v>-812</v>
      </c>
      <c r="I94" s="4">
        <v>-430</v>
      </c>
      <c r="J94" s="5">
        <f>J15</f>
        <v>-1403.1627000000001</v>
      </c>
      <c r="K94" s="5">
        <f t="shared" ref="K94:N94" si="57">K15</f>
        <v>-1501.3840890000001</v>
      </c>
      <c r="L94" s="5">
        <f t="shared" si="57"/>
        <v>-1621.4948161200002</v>
      </c>
      <c r="M94" s="5">
        <f t="shared" si="57"/>
        <v>-1767.4293495708002</v>
      </c>
      <c r="N94" s="5">
        <f t="shared" si="57"/>
        <v>-1926.4979910321724</v>
      </c>
    </row>
    <row r="95" spans="2:14" outlineLevel="1">
      <c r="B95" t="s">
        <v>68</v>
      </c>
      <c r="E95" s="4">
        <v>171</v>
      </c>
      <c r="F95" s="4">
        <v>-19</v>
      </c>
      <c r="G95" s="4">
        <v>52</v>
      </c>
      <c r="H95" s="4">
        <v>-15</v>
      </c>
      <c r="I95" s="4">
        <v>8</v>
      </c>
      <c r="J95" s="5">
        <v>8</v>
      </c>
      <c r="K95" s="5">
        <v>8</v>
      </c>
      <c r="L95" s="5">
        <v>8</v>
      </c>
      <c r="M95" s="5">
        <v>8</v>
      </c>
      <c r="N95" s="5">
        <v>8</v>
      </c>
    </row>
    <row r="96" spans="2:14" ht="15" outlineLevel="1">
      <c r="B96" s="8" t="s">
        <v>69</v>
      </c>
      <c r="C96" s="8"/>
      <c r="D96" s="8"/>
      <c r="E96" s="9">
        <v>-3800</v>
      </c>
      <c r="F96" s="9">
        <v>-1524</v>
      </c>
      <c r="G96" s="9">
        <v>564</v>
      </c>
      <c r="H96" s="9">
        <v>894</v>
      </c>
      <c r="I96" s="9">
        <v>-275</v>
      </c>
      <c r="J96" s="10">
        <f>SUM(J91:J95)</f>
        <v>2904.8373000000001</v>
      </c>
      <c r="K96" s="10">
        <f t="shared" ref="K96:N96" si="58">SUM(K91:K95)</f>
        <v>2506.6159109999999</v>
      </c>
      <c r="L96" s="10">
        <f t="shared" si="58"/>
        <v>-613.49481612000022</v>
      </c>
      <c r="M96" s="10">
        <f t="shared" si="58"/>
        <v>-759.42934957080024</v>
      </c>
      <c r="N96" s="10">
        <f t="shared" si="58"/>
        <v>-918.49799103217242</v>
      </c>
    </row>
    <row r="97" spans="2:14" outlineLevel="1">
      <c r="B97" t="s">
        <v>70</v>
      </c>
      <c r="E97" s="4">
        <v>-52</v>
      </c>
      <c r="F97" s="4">
        <v>15</v>
      </c>
      <c r="G97" s="4">
        <v>-4</v>
      </c>
      <c r="H97" s="4">
        <v>0</v>
      </c>
      <c r="I97" s="4">
        <v>-1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2:14" outlineLevel="1">
      <c r="B98" t="s">
        <v>71</v>
      </c>
      <c r="E98" s="4">
        <v>-197</v>
      </c>
      <c r="F98" s="4">
        <v>0</v>
      </c>
      <c r="G98" s="4">
        <v>-500</v>
      </c>
      <c r="H98" s="4">
        <v>0</v>
      </c>
      <c r="I98" s="4">
        <v>-1000</v>
      </c>
      <c r="J98" s="5">
        <f>-J129</f>
        <v>-1700</v>
      </c>
      <c r="K98" s="5">
        <f t="shared" ref="K98:N98" si="59">-K129</f>
        <v>-1000</v>
      </c>
      <c r="L98" s="5">
        <f t="shared" si="59"/>
        <v>0</v>
      </c>
      <c r="M98" s="5">
        <f t="shared" si="59"/>
        <v>-500</v>
      </c>
      <c r="N98" s="5">
        <f t="shared" si="59"/>
        <v>-1489</v>
      </c>
    </row>
    <row r="99" spans="2:14" outlineLevel="1">
      <c r="B99" t="s">
        <v>72</v>
      </c>
      <c r="E99" s="4">
        <v>1172</v>
      </c>
      <c r="F99" s="4">
        <v>1151</v>
      </c>
      <c r="G99" s="4">
        <v>651</v>
      </c>
      <c r="H99" s="4">
        <v>667</v>
      </c>
      <c r="I99" s="4">
        <v>551</v>
      </c>
      <c r="J99" s="5">
        <f>I99*(1+5%)</f>
        <v>578.55000000000007</v>
      </c>
      <c r="K99" s="5">
        <f t="shared" ref="K99:N99" si="60">J99*(1+5%)</f>
        <v>607.47750000000008</v>
      </c>
      <c r="L99" s="5">
        <f t="shared" si="60"/>
        <v>637.85137500000008</v>
      </c>
      <c r="M99" s="5">
        <f t="shared" si="60"/>
        <v>669.74394375000008</v>
      </c>
      <c r="N99" s="5">
        <f t="shared" si="60"/>
        <v>703.23114093750007</v>
      </c>
    </row>
    <row r="100" spans="2:14" outlineLevel="1">
      <c r="B100" t="s">
        <v>73</v>
      </c>
      <c r="E100" s="4">
        <v>-608</v>
      </c>
      <c r="F100" s="4">
        <v>-4014</v>
      </c>
      <c r="G100" s="4">
        <v>-5480</v>
      </c>
      <c r="H100" s="4">
        <v>-4250</v>
      </c>
      <c r="I100" s="4">
        <v>-2985</v>
      </c>
      <c r="J100" s="5">
        <v>-1500</v>
      </c>
      <c r="K100" s="5">
        <v>-3000</v>
      </c>
      <c r="L100" s="5">
        <v>-3000</v>
      </c>
      <c r="M100" s="5">
        <v>-3000</v>
      </c>
      <c r="N100" s="5">
        <v>-3000</v>
      </c>
    </row>
    <row r="101" spans="2:14" outlineLevel="1">
      <c r="B101" t="s">
        <v>74</v>
      </c>
      <c r="E101" s="4">
        <v>-1638</v>
      </c>
      <c r="F101" s="4">
        <v>-1837</v>
      </c>
      <c r="G101" s="4">
        <v>-2012</v>
      </c>
      <c r="H101" s="4">
        <v>-2169</v>
      </c>
      <c r="I101" s="4">
        <v>-2300</v>
      </c>
      <c r="J101" s="5">
        <f>I101*(1+6%)</f>
        <v>-2438</v>
      </c>
      <c r="K101" s="5">
        <f t="shared" ref="K101:N101" si="61">J101*(1+6%)</f>
        <v>-2584.2800000000002</v>
      </c>
      <c r="L101" s="5">
        <f t="shared" si="61"/>
        <v>-2739.3368000000005</v>
      </c>
      <c r="M101" s="5">
        <f t="shared" si="61"/>
        <v>-2903.6970080000006</v>
      </c>
      <c r="N101" s="5">
        <f t="shared" si="61"/>
        <v>-3077.9188284800007</v>
      </c>
    </row>
    <row r="102" spans="2:14" outlineLevel="1">
      <c r="B102" t="s">
        <v>75</v>
      </c>
      <c r="E102" s="4">
        <v>-136</v>
      </c>
      <c r="F102" s="4">
        <v>-151</v>
      </c>
      <c r="G102" s="4">
        <v>-102</v>
      </c>
      <c r="H102" s="4">
        <v>-136</v>
      </c>
      <c r="I102" s="4">
        <v>-85</v>
      </c>
      <c r="J102" s="5">
        <v>-85</v>
      </c>
      <c r="K102" s="5">
        <v>-85</v>
      </c>
      <c r="L102" s="5">
        <v>-85</v>
      </c>
      <c r="M102" s="5">
        <v>-85</v>
      </c>
      <c r="N102" s="5">
        <v>-85</v>
      </c>
    </row>
    <row r="103" spans="2:14" ht="15" outlineLevel="1">
      <c r="B103" s="8" t="s">
        <v>76</v>
      </c>
      <c r="C103" s="8"/>
      <c r="D103" s="8"/>
      <c r="E103" s="9">
        <v>-1459</v>
      </c>
      <c r="F103" s="9">
        <v>-4836</v>
      </c>
      <c r="G103" s="9">
        <v>-7447</v>
      </c>
      <c r="H103" s="9">
        <v>-5888</v>
      </c>
      <c r="I103" s="9">
        <v>-5820</v>
      </c>
      <c r="J103" s="10">
        <f>SUM(J97:J102)</f>
        <v>-5144.45</v>
      </c>
      <c r="K103" s="10">
        <f t="shared" ref="K103:N103" si="62">SUM(K97:K102)</f>
        <v>-6061.8024999999998</v>
      </c>
      <c r="L103" s="10">
        <f t="shared" si="62"/>
        <v>-5186.4854250000008</v>
      </c>
      <c r="M103" s="10">
        <f t="shared" si="62"/>
        <v>-5818.9530642500004</v>
      </c>
      <c r="N103" s="10">
        <f t="shared" si="62"/>
        <v>-6948.6876875425005</v>
      </c>
    </row>
    <row r="104" spans="2:14" outlineLevel="1">
      <c r="B104" t="s">
        <v>77</v>
      </c>
      <c r="E104" s="4">
        <v>143</v>
      </c>
      <c r="F104" s="4">
        <v>-143</v>
      </c>
      <c r="G104" s="4">
        <v>-91</v>
      </c>
      <c r="H104" s="4">
        <v>-16</v>
      </c>
      <c r="I104" s="4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</row>
    <row r="105" spans="2:14" outlineLevel="1">
      <c r="B105" t="s">
        <v>78</v>
      </c>
      <c r="E105" s="4">
        <v>1541</v>
      </c>
      <c r="F105" s="4">
        <v>-1315</v>
      </c>
      <c r="G105" s="4">
        <v>-1133</v>
      </c>
      <c r="H105" s="4">
        <v>2419</v>
      </c>
      <c r="I105" s="4">
        <v>-2396</v>
      </c>
      <c r="J105" s="5">
        <f>J90+J96+J103+J104</f>
        <v>-83.966959180164849</v>
      </c>
      <c r="K105" s="5">
        <f t="shared" ref="K105:N105" si="63">K90+K96+K103+K104</f>
        <v>1648.7588845833388</v>
      </c>
      <c r="L105" s="5">
        <f t="shared" si="63"/>
        <v>802.13705397981357</v>
      </c>
      <c r="M105" s="5">
        <f t="shared" si="63"/>
        <v>1909.5169893638349</v>
      </c>
      <c r="N105" s="5">
        <f t="shared" si="63"/>
        <v>1846.0837977044739</v>
      </c>
    </row>
    <row r="106" spans="2:14" outlineLevel="1">
      <c r="B106" t="s">
        <v>79</v>
      </c>
      <c r="E106" s="4">
        <v>8348</v>
      </c>
      <c r="F106" s="4">
        <v>9889</v>
      </c>
      <c r="G106" s="4">
        <v>8574</v>
      </c>
      <c r="H106" s="4">
        <v>7441</v>
      </c>
      <c r="I106" s="4">
        <v>9860</v>
      </c>
      <c r="J106" s="5">
        <f>I107</f>
        <v>7464</v>
      </c>
      <c r="K106" s="5">
        <f t="shared" ref="K106:N106" si="64">J107</f>
        <v>7380.0330408198352</v>
      </c>
      <c r="L106" s="5">
        <f t="shared" si="64"/>
        <v>9028.7919254031731</v>
      </c>
      <c r="M106" s="5">
        <f t="shared" si="64"/>
        <v>9830.9289793829867</v>
      </c>
      <c r="N106" s="5">
        <f t="shared" si="64"/>
        <v>11740.445968746822</v>
      </c>
    </row>
    <row r="107" spans="2:14" ht="15" outlineLevel="1">
      <c r="B107" s="8" t="s">
        <v>80</v>
      </c>
      <c r="C107" s="8"/>
      <c r="D107" s="8"/>
      <c r="E107" s="9">
        <v>9889</v>
      </c>
      <c r="F107" s="9">
        <v>8574</v>
      </c>
      <c r="G107" s="9">
        <v>7441</v>
      </c>
      <c r="H107" s="9">
        <v>9860</v>
      </c>
      <c r="I107" s="9">
        <v>7464</v>
      </c>
      <c r="J107" s="10">
        <f>J105+J106</f>
        <v>7380.0330408198352</v>
      </c>
      <c r="K107" s="10">
        <f t="shared" ref="K107:N107" si="65">K105+K106</f>
        <v>9028.7919254031731</v>
      </c>
      <c r="L107" s="10">
        <f t="shared" si="65"/>
        <v>9830.9289793829867</v>
      </c>
      <c r="M107" s="10">
        <f t="shared" si="65"/>
        <v>11740.445968746822</v>
      </c>
      <c r="N107" s="10">
        <f t="shared" si="65"/>
        <v>13586.529766451296</v>
      </c>
    </row>
    <row r="108" spans="2:14" ht="15" outlineLevel="1">
      <c r="B108" s="6" t="s">
        <v>81</v>
      </c>
      <c r="C108" s="6"/>
      <c r="D108" s="6"/>
      <c r="E108" s="7">
        <f>E107-E41</f>
        <v>0</v>
      </c>
      <c r="F108" s="7">
        <f>F107-F41</f>
        <v>0</v>
      </c>
      <c r="G108" s="7">
        <f>G107-G41</f>
        <v>0</v>
      </c>
      <c r="H108" s="7">
        <f>H107-H41</f>
        <v>0</v>
      </c>
      <c r="I108" s="7">
        <f>I107-I41</f>
        <v>0</v>
      </c>
      <c r="J108" s="7">
        <f t="shared" ref="J108:N108" si="66">J107-J41</f>
        <v>0</v>
      </c>
      <c r="K108" s="7">
        <f t="shared" si="66"/>
        <v>0</v>
      </c>
      <c r="L108" s="7">
        <f t="shared" si="66"/>
        <v>0</v>
      </c>
      <c r="M108" s="7">
        <f t="shared" si="66"/>
        <v>0</v>
      </c>
      <c r="N108" s="7">
        <f t="shared" si="66"/>
        <v>0</v>
      </c>
    </row>
    <row r="111" spans="2:14" ht="15">
      <c r="B111" s="21" t="s">
        <v>135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2:14" outlineLevel="1"/>
    <row r="113" spans="2:15" ht="16" outlineLevel="1">
      <c r="B113" s="29" t="s">
        <v>136</v>
      </c>
      <c r="C113" s="30"/>
      <c r="D113" s="31"/>
      <c r="F113" s="32"/>
      <c r="G113" s="32"/>
      <c r="H113" s="32"/>
      <c r="I113" s="32"/>
      <c r="J113" s="30"/>
      <c r="K113" s="30"/>
      <c r="L113" s="30"/>
      <c r="M113" s="30"/>
      <c r="N113" s="30"/>
    </row>
    <row r="114" spans="2:15" ht="16" outlineLevel="1">
      <c r="B114" s="30" t="s">
        <v>137</v>
      </c>
      <c r="C114" s="30"/>
      <c r="D114" s="31"/>
      <c r="E114" s="32">
        <f>E43</f>
        <v>4463</v>
      </c>
      <c r="F114" s="32">
        <f t="shared" ref="F114:I114" si="67">F43</f>
        <v>4667</v>
      </c>
      <c r="G114" s="32">
        <f t="shared" si="67"/>
        <v>4131</v>
      </c>
      <c r="H114" s="32">
        <f t="shared" si="67"/>
        <v>4427</v>
      </c>
      <c r="I114" s="32">
        <f t="shared" si="67"/>
        <v>4717</v>
      </c>
      <c r="J114" s="30">
        <f>J43</f>
        <v>3972.4240821917811</v>
      </c>
      <c r="K114" s="30">
        <f t="shared" ref="K114:N114" si="68">K43</f>
        <v>4250.4937679452059</v>
      </c>
      <c r="L114" s="30">
        <f t="shared" si="68"/>
        <v>4590.5332693808223</v>
      </c>
      <c r="M114" s="30">
        <f t="shared" si="68"/>
        <v>5003.681263625097</v>
      </c>
      <c r="N114" s="30">
        <f t="shared" si="68"/>
        <v>5454.0125773513564</v>
      </c>
    </row>
    <row r="115" spans="2:15" ht="16" outlineLevel="1">
      <c r="B115" s="30" t="s">
        <v>138</v>
      </c>
      <c r="C115" s="30"/>
      <c r="D115" s="31"/>
      <c r="E115" s="32">
        <f>E44</f>
        <v>6854</v>
      </c>
      <c r="F115" s="32">
        <f t="shared" ref="F115:I115" si="69">F44</f>
        <v>8420</v>
      </c>
      <c r="G115" s="32">
        <f t="shared" si="69"/>
        <v>8454</v>
      </c>
      <c r="H115" s="32">
        <f t="shared" si="69"/>
        <v>7519</v>
      </c>
      <c r="I115" s="32">
        <f t="shared" si="69"/>
        <v>7489</v>
      </c>
      <c r="J115" s="30">
        <f>J44</f>
        <v>7060.6634493150686</v>
      </c>
      <c r="K115" s="30">
        <f t="shared" ref="K115:N115" si="70">K44</f>
        <v>7140.8295301479466</v>
      </c>
      <c r="L115" s="30">
        <f t="shared" si="70"/>
        <v>7196.7715126421926</v>
      </c>
      <c r="M115" s="30">
        <f t="shared" si="70"/>
        <v>7553.9446173436954</v>
      </c>
      <c r="N115" s="30">
        <f t="shared" si="70"/>
        <v>8233.7996329046273</v>
      </c>
    </row>
    <row r="116" spans="2:15" ht="16" outlineLevel="1">
      <c r="B116" s="30" t="s">
        <v>126</v>
      </c>
      <c r="C116" s="30"/>
      <c r="D116" s="31"/>
      <c r="E116" s="32">
        <f>E58</f>
        <v>2836</v>
      </c>
      <c r="F116" s="32">
        <f t="shared" ref="F116:I116" si="71">F58</f>
        <v>3358</v>
      </c>
      <c r="G116" s="32">
        <f t="shared" si="71"/>
        <v>2862</v>
      </c>
      <c r="H116" s="32">
        <f t="shared" si="71"/>
        <v>2851</v>
      </c>
      <c r="I116" s="32">
        <f t="shared" si="71"/>
        <v>3479</v>
      </c>
      <c r="J116" s="30">
        <f>J58</f>
        <v>2972.9109260273972</v>
      </c>
      <c r="K116" s="30">
        <f t="shared" ref="K116:N116" si="72">K58</f>
        <v>3071.3245290958907</v>
      </c>
      <c r="L116" s="30">
        <f t="shared" si="72"/>
        <v>3198.5651167298633</v>
      </c>
      <c r="M116" s="30">
        <f t="shared" si="72"/>
        <v>3357.3087188194199</v>
      </c>
      <c r="N116" s="30">
        <f t="shared" si="72"/>
        <v>3659.4665035131675</v>
      </c>
    </row>
    <row r="117" spans="2:15" ht="16" outlineLevel="1">
      <c r="B117" s="33" t="s">
        <v>139</v>
      </c>
      <c r="C117" s="33"/>
      <c r="D117" s="34"/>
      <c r="E117" s="40">
        <f>E114+E115-E116</f>
        <v>8481</v>
      </c>
      <c r="F117" s="40">
        <f t="shared" ref="F117:I117" si="73">F114+F115-F116</f>
        <v>9729</v>
      </c>
      <c r="G117" s="40">
        <f t="shared" si="73"/>
        <v>9723</v>
      </c>
      <c r="H117" s="40">
        <f t="shared" si="73"/>
        <v>9095</v>
      </c>
      <c r="I117" s="40">
        <f t="shared" si="73"/>
        <v>8727</v>
      </c>
      <c r="J117" s="33">
        <f t="shared" ref="J117" si="74">J114+J115-J116</f>
        <v>8060.1766054794525</v>
      </c>
      <c r="K117" s="33">
        <f t="shared" ref="K117" si="75">K114+K115-K116</f>
        <v>8319.9987689972622</v>
      </c>
      <c r="L117" s="33">
        <f t="shared" ref="L117" si="76">L114+L115-L116</f>
        <v>8588.7396652931511</v>
      </c>
      <c r="M117" s="33">
        <f t="shared" ref="M117" si="77">M114+M115-M116</f>
        <v>9200.317162149373</v>
      </c>
      <c r="N117" s="33">
        <f t="shared" ref="N117" si="78">N114+N115-N116</f>
        <v>10028.345706742815</v>
      </c>
    </row>
    <row r="118" spans="2:15" ht="16" outlineLevel="1">
      <c r="B118" s="30" t="s">
        <v>140</v>
      </c>
      <c r="C118" s="30"/>
      <c r="D118" s="31"/>
      <c r="E118" s="32">
        <f>E117-D117</f>
        <v>8481</v>
      </c>
      <c r="F118" s="32">
        <f t="shared" ref="F118:N118" si="79">F117-E117</f>
        <v>1248</v>
      </c>
      <c r="G118" s="32">
        <f t="shared" si="79"/>
        <v>-6</v>
      </c>
      <c r="H118" s="32">
        <f t="shared" si="79"/>
        <v>-628</v>
      </c>
      <c r="I118" s="32">
        <f t="shared" si="79"/>
        <v>-368</v>
      </c>
      <c r="J118" s="30">
        <f t="shared" si="79"/>
        <v>-666.82339452054748</v>
      </c>
      <c r="K118" s="30">
        <f t="shared" si="79"/>
        <v>259.82216351780971</v>
      </c>
      <c r="L118" s="30">
        <f t="shared" si="79"/>
        <v>268.74089629588889</v>
      </c>
      <c r="M118" s="30">
        <f t="shared" si="79"/>
        <v>611.57749685622184</v>
      </c>
      <c r="N118" s="30">
        <f t="shared" si="79"/>
        <v>828.02854459344235</v>
      </c>
    </row>
    <row r="119" spans="2:15" ht="16" outlineLevel="1">
      <c r="B119" s="30"/>
      <c r="C119" s="30"/>
      <c r="D119" s="31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2:15" ht="16" outlineLevel="1">
      <c r="B120" s="29" t="s">
        <v>141</v>
      </c>
      <c r="C120" s="30"/>
      <c r="D120" s="31"/>
      <c r="E120" s="32"/>
      <c r="F120" s="32"/>
      <c r="G120" s="32"/>
      <c r="H120" s="32"/>
      <c r="I120" s="32"/>
      <c r="J120" s="32"/>
      <c r="K120" s="32"/>
      <c r="L120" s="32"/>
      <c r="M120" s="32"/>
      <c r="N120" s="32"/>
    </row>
    <row r="121" spans="2:15" ht="16" outlineLevel="1">
      <c r="B121" s="30" t="s">
        <v>142</v>
      </c>
      <c r="C121" s="30"/>
      <c r="D121" s="31"/>
      <c r="E121" s="32">
        <v>3675</v>
      </c>
      <c r="F121" s="32">
        <f>E124</f>
        <v>3626</v>
      </c>
      <c r="G121" s="32">
        <f t="shared" ref="G121:N121" si="80">F124</f>
        <v>3667</v>
      </c>
      <c r="H121" s="32">
        <f t="shared" si="80"/>
        <v>3933</v>
      </c>
      <c r="I121" s="32">
        <f t="shared" si="80"/>
        <v>3949</v>
      </c>
      <c r="J121" s="30">
        <f t="shared" si="80"/>
        <v>3604</v>
      </c>
      <c r="K121" s="30">
        <f t="shared" si="80"/>
        <v>4456.8552706310811</v>
      </c>
      <c r="L121" s="30">
        <f t="shared" si="80"/>
        <v>5256.410232904761</v>
      </c>
      <c r="M121" s="30">
        <f t="shared" si="80"/>
        <v>6053.1965458414106</v>
      </c>
      <c r="N121" s="30">
        <f t="shared" si="80"/>
        <v>6878.2216756894322</v>
      </c>
    </row>
    <row r="122" spans="2:15" ht="16" outlineLevel="1">
      <c r="B122" s="30" t="s">
        <v>143</v>
      </c>
      <c r="C122" s="30"/>
      <c r="D122" s="31"/>
      <c r="E122" s="32">
        <f>-E94</f>
        <v>695</v>
      </c>
      <c r="F122" s="32">
        <f t="shared" ref="F122:N122" si="81">-F94</f>
        <v>758</v>
      </c>
      <c r="G122" s="32">
        <f t="shared" si="81"/>
        <v>969</v>
      </c>
      <c r="H122" s="32">
        <f t="shared" si="81"/>
        <v>812</v>
      </c>
      <c r="I122" s="32">
        <f t="shared" si="81"/>
        <v>430</v>
      </c>
      <c r="J122" s="30">
        <f t="shared" si="81"/>
        <v>1403.1627000000001</v>
      </c>
      <c r="K122" s="30">
        <f t="shared" si="81"/>
        <v>1501.3840890000001</v>
      </c>
      <c r="L122" s="30">
        <f t="shared" si="81"/>
        <v>1621.4948161200002</v>
      </c>
      <c r="M122" s="30">
        <f t="shared" si="81"/>
        <v>1767.4293495708002</v>
      </c>
      <c r="N122" s="30">
        <f t="shared" si="81"/>
        <v>1926.4979910321724</v>
      </c>
    </row>
    <row r="123" spans="2:15" ht="16" outlineLevel="1">
      <c r="B123" s="30" t="s">
        <v>144</v>
      </c>
      <c r="C123" s="30"/>
      <c r="D123" s="35"/>
      <c r="E123" s="32">
        <f>E81</f>
        <v>744</v>
      </c>
      <c r="F123" s="32">
        <f t="shared" ref="F123:N123" si="82">F81</f>
        <v>717</v>
      </c>
      <c r="G123" s="32">
        <f t="shared" si="82"/>
        <v>703</v>
      </c>
      <c r="H123" s="32">
        <f t="shared" si="82"/>
        <v>796</v>
      </c>
      <c r="I123" s="32">
        <f t="shared" si="82"/>
        <v>775</v>
      </c>
      <c r="J123" s="30">
        <f>J121*J9</f>
        <v>550.30742936891841</v>
      </c>
      <c r="K123" s="30">
        <f t="shared" ref="K123:N123" si="83">K121*K9</f>
        <v>701.82912672632051</v>
      </c>
      <c r="L123" s="30">
        <f t="shared" si="83"/>
        <v>824.70850318335033</v>
      </c>
      <c r="M123" s="30">
        <f t="shared" si="83"/>
        <v>942.40421972277932</v>
      </c>
      <c r="N123" s="30">
        <f t="shared" si="83"/>
        <v>1077.7132984459913</v>
      </c>
    </row>
    <row r="124" spans="2:15" ht="16" outlineLevel="1">
      <c r="B124" s="33" t="s">
        <v>145</v>
      </c>
      <c r="C124" s="33"/>
      <c r="D124" s="34"/>
      <c r="E124" s="40">
        <f>E121+E122-E123</f>
        <v>3626</v>
      </c>
      <c r="F124" s="40">
        <f t="shared" ref="F124:N124" si="84">F121+F122-F123</f>
        <v>3667</v>
      </c>
      <c r="G124" s="40">
        <f t="shared" si="84"/>
        <v>3933</v>
      </c>
      <c r="H124" s="40">
        <f t="shared" si="84"/>
        <v>3949</v>
      </c>
      <c r="I124" s="40">
        <f t="shared" si="84"/>
        <v>3604</v>
      </c>
      <c r="J124" s="33">
        <f t="shared" si="84"/>
        <v>4456.8552706310811</v>
      </c>
      <c r="K124" s="33">
        <f t="shared" si="84"/>
        <v>5256.410232904761</v>
      </c>
      <c r="L124" s="33">
        <f t="shared" si="84"/>
        <v>6053.1965458414106</v>
      </c>
      <c r="M124" s="33">
        <f t="shared" si="84"/>
        <v>6878.2216756894322</v>
      </c>
      <c r="N124" s="33">
        <f t="shared" si="84"/>
        <v>7727.0063682756136</v>
      </c>
      <c r="O124" s="33"/>
    </row>
    <row r="125" spans="2:15" ht="16" outlineLevel="1">
      <c r="B125" s="30"/>
      <c r="C125" s="30"/>
      <c r="D125" s="31"/>
      <c r="E125" s="32"/>
      <c r="F125" s="32"/>
      <c r="G125" s="32"/>
      <c r="H125" s="32"/>
      <c r="I125" s="32"/>
      <c r="J125" s="32"/>
      <c r="K125" s="32"/>
      <c r="L125" s="32"/>
      <c r="M125" s="32"/>
      <c r="N125" s="32"/>
    </row>
    <row r="126" spans="2:15" ht="16" outlineLevel="1">
      <c r="B126" s="29" t="s">
        <v>146</v>
      </c>
      <c r="C126" s="30"/>
      <c r="D126" s="31"/>
      <c r="E126" s="32"/>
      <c r="F126" s="32"/>
      <c r="G126" s="32"/>
      <c r="H126" s="32"/>
      <c r="I126" s="32"/>
      <c r="J126" s="32"/>
      <c r="K126" s="32"/>
      <c r="L126" s="32"/>
      <c r="M126" s="32"/>
      <c r="N126" s="32"/>
    </row>
    <row r="127" spans="2:15" ht="16" outlineLevel="1">
      <c r="B127" s="30" t="s">
        <v>147</v>
      </c>
      <c r="C127" s="30"/>
      <c r="D127" s="31"/>
      <c r="E127" s="32">
        <v>9406</v>
      </c>
      <c r="F127" s="32">
        <f>E130</f>
        <v>9209</v>
      </c>
      <c r="G127" s="32">
        <f t="shared" ref="G127:N127" si="85">F130</f>
        <v>9209</v>
      </c>
      <c r="H127" s="32">
        <f t="shared" si="85"/>
        <v>8709</v>
      </c>
      <c r="I127" s="32">
        <f t="shared" si="85"/>
        <v>8709</v>
      </c>
      <c r="J127" s="30">
        <f t="shared" si="85"/>
        <v>7709</v>
      </c>
      <c r="K127" s="30">
        <f t="shared" si="85"/>
        <v>7008</v>
      </c>
      <c r="L127" s="30">
        <f t="shared" si="85"/>
        <v>7007</v>
      </c>
      <c r="M127" s="30">
        <f t="shared" si="85"/>
        <v>7007</v>
      </c>
      <c r="N127" s="30">
        <f t="shared" si="85"/>
        <v>6507</v>
      </c>
    </row>
    <row r="128" spans="2:15" ht="16" outlineLevel="1">
      <c r="B128" s="38" t="s">
        <v>150</v>
      </c>
      <c r="C128" s="30"/>
      <c r="D128" s="31"/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0">
        <v>999</v>
      </c>
      <c r="K128" s="30">
        <v>999</v>
      </c>
      <c r="L128" s="30">
        <v>0</v>
      </c>
      <c r="M128" s="30">
        <v>0</v>
      </c>
      <c r="N128" s="30">
        <v>1500</v>
      </c>
    </row>
    <row r="129" spans="2:14" ht="15" customHeight="1" outlineLevel="1">
      <c r="B129" s="37" t="s">
        <v>151</v>
      </c>
      <c r="C129" s="30"/>
      <c r="D129" s="31"/>
      <c r="E129" s="32">
        <v>197</v>
      </c>
      <c r="F129" s="32">
        <v>0</v>
      </c>
      <c r="G129" s="32">
        <v>500</v>
      </c>
      <c r="H129" s="32">
        <v>0</v>
      </c>
      <c r="I129" s="32">
        <v>1000</v>
      </c>
      <c r="J129" s="32">
        <v>1700</v>
      </c>
      <c r="K129" s="32">
        <v>1000</v>
      </c>
      <c r="L129" s="32">
        <v>0</v>
      </c>
      <c r="M129" s="32">
        <v>500</v>
      </c>
      <c r="N129" s="32">
        <v>1489</v>
      </c>
    </row>
    <row r="130" spans="2:14" ht="16" outlineLevel="1">
      <c r="B130" s="33" t="s">
        <v>148</v>
      </c>
      <c r="C130" s="33"/>
      <c r="D130" s="34"/>
      <c r="E130" s="40">
        <f>E127+E128-E129</f>
        <v>9209</v>
      </c>
      <c r="F130" s="40">
        <f t="shared" ref="F130:N130" si="86">F127+F128-F129</f>
        <v>9209</v>
      </c>
      <c r="G130" s="40">
        <f t="shared" si="86"/>
        <v>8709</v>
      </c>
      <c r="H130" s="40">
        <f t="shared" si="86"/>
        <v>8709</v>
      </c>
      <c r="I130" s="40">
        <f t="shared" si="86"/>
        <v>7709</v>
      </c>
      <c r="J130" s="33">
        <f t="shared" si="86"/>
        <v>7008</v>
      </c>
      <c r="K130" s="33">
        <f t="shared" si="86"/>
        <v>7007</v>
      </c>
      <c r="L130" s="33">
        <f t="shared" si="86"/>
        <v>7007</v>
      </c>
      <c r="M130" s="33">
        <f t="shared" si="86"/>
        <v>6507</v>
      </c>
      <c r="N130" s="33">
        <f t="shared" si="86"/>
        <v>6518</v>
      </c>
    </row>
    <row r="131" spans="2:14" ht="16" outlineLevel="1">
      <c r="B131" s="30" t="s">
        <v>149</v>
      </c>
      <c r="C131" s="30"/>
      <c r="D131" s="35"/>
      <c r="E131" s="32">
        <f>E29</f>
        <v>262</v>
      </c>
      <c r="F131" s="32">
        <f t="shared" ref="F131:I131" si="87">F29</f>
        <v>205</v>
      </c>
      <c r="G131" s="32">
        <f t="shared" si="87"/>
        <v>-6</v>
      </c>
      <c r="H131" s="32">
        <f t="shared" si="87"/>
        <v>-161</v>
      </c>
      <c r="I131" s="32">
        <f t="shared" si="87"/>
        <v>-107</v>
      </c>
      <c r="J131" s="30">
        <f>J63*J10</f>
        <v>140.16</v>
      </c>
      <c r="K131" s="30">
        <f t="shared" ref="K131:N131" si="88">K63*K10</f>
        <v>140.14000000000001</v>
      </c>
      <c r="L131" s="30">
        <f t="shared" si="88"/>
        <v>140.14000000000001</v>
      </c>
      <c r="M131" s="30">
        <f t="shared" si="88"/>
        <v>130.14000000000001</v>
      </c>
      <c r="N131" s="30">
        <f t="shared" si="88"/>
        <v>130.36000000000001</v>
      </c>
    </row>
    <row r="132" spans="2:14" ht="16">
      <c r="C132" s="30"/>
      <c r="D132" s="31"/>
      <c r="E132" s="32"/>
      <c r="F132" s="32"/>
      <c r="G132" s="32"/>
      <c r="H132" s="32"/>
      <c r="I132" s="32"/>
      <c r="J132" s="32"/>
      <c r="K132" s="32"/>
      <c r="L132" s="32"/>
      <c r="M132" s="32"/>
      <c r="N132" s="30"/>
    </row>
    <row r="133" spans="2:14" ht="16">
      <c r="C133" s="30"/>
      <c r="D133" s="31"/>
      <c r="E133" s="32"/>
      <c r="F133" s="32"/>
      <c r="G133" s="32"/>
      <c r="H133" s="32"/>
      <c r="I133" s="32"/>
      <c r="J133" s="32"/>
      <c r="K133" s="32"/>
      <c r="L133" s="32"/>
      <c r="M133" s="32"/>
      <c r="N133" s="32"/>
    </row>
    <row r="134" spans="2:14">
      <c r="F134" s="36"/>
      <c r="G134" s="36"/>
      <c r="H134" s="36"/>
      <c r="I134" s="36"/>
      <c r="J134" s="36"/>
      <c r="K134" s="36"/>
      <c r="L134" s="36"/>
      <c r="M134" s="36"/>
      <c r="N134" s="36"/>
    </row>
    <row r="135" spans="2:14">
      <c r="F135" s="36"/>
      <c r="G135" s="36"/>
      <c r="H135" s="36"/>
      <c r="I135" s="36"/>
      <c r="J135" s="36"/>
      <c r="K135" s="36"/>
      <c r="L135" s="36"/>
      <c r="M135" s="36"/>
      <c r="N135" s="36"/>
    </row>
  </sheetData>
  <mergeCells count="7">
    <mergeCell ref="B79:N79"/>
    <mergeCell ref="B111:N111"/>
    <mergeCell ref="B1:N1"/>
    <mergeCell ref="B21:N21"/>
    <mergeCell ref="B40:N40"/>
    <mergeCell ref="B55:N55"/>
    <mergeCell ref="B69:N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68"/>
  <sheetViews>
    <sheetView showGridLines="0" topLeftCell="A10" workbookViewId="0">
      <selection activeCell="G75" sqref="G75"/>
    </sheetView>
  </sheetViews>
  <sheetFormatPr baseColWidth="10" defaultColWidth="8.83203125" defaultRowHeight="14"/>
  <cols>
    <col min="1" max="1" width="8.33203125" customWidth="1"/>
    <col min="2" max="2" width="48" customWidth="1"/>
    <col min="3" max="4" width="4" customWidth="1"/>
    <col min="5" max="14" width="13" customWidth="1"/>
    <col min="16" max="16" width="24" customWidth="1"/>
    <col min="17" max="17" width="12" customWidth="1"/>
  </cols>
  <sheetData>
    <row r="1" spans="2:17" ht="18">
      <c r="B1" s="20" t="s">
        <v>82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P1" s="2" t="s">
        <v>83</v>
      </c>
      <c r="Q1" s="2" t="s">
        <v>84</v>
      </c>
    </row>
    <row r="2" spans="2:17" ht="15">
      <c r="B2" s="1" t="s">
        <v>85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t="s">
        <v>86</v>
      </c>
      <c r="Q2" t="s">
        <v>87</v>
      </c>
    </row>
    <row r="3" spans="2:17">
      <c r="P3" t="s">
        <v>88</v>
      </c>
      <c r="Q3" t="s">
        <v>87</v>
      </c>
    </row>
    <row r="4" spans="2:17" ht="15">
      <c r="B4" s="3" t="s">
        <v>2</v>
      </c>
      <c r="C4" s="3"/>
      <c r="D4" s="3"/>
      <c r="E4" s="3">
        <v>2021</v>
      </c>
      <c r="F4" s="3">
        <v>2022</v>
      </c>
      <c r="G4" s="3">
        <v>2023</v>
      </c>
      <c r="H4" s="3">
        <v>2024</v>
      </c>
      <c r="I4" s="3">
        <v>2025</v>
      </c>
      <c r="J4" s="18">
        <v>2026</v>
      </c>
      <c r="K4" s="18">
        <v>2027</v>
      </c>
      <c r="L4" s="18">
        <v>2028</v>
      </c>
      <c r="M4" s="18">
        <v>2029</v>
      </c>
      <c r="N4" s="18">
        <v>2030</v>
      </c>
    </row>
    <row r="5" spans="2:17" ht="15">
      <c r="J5" s="19" t="s">
        <v>89</v>
      </c>
      <c r="K5" s="19" t="s">
        <v>89</v>
      </c>
      <c r="L5" s="19" t="s">
        <v>89</v>
      </c>
      <c r="M5" s="19" t="s">
        <v>89</v>
      </c>
      <c r="N5" s="19" t="s">
        <v>89</v>
      </c>
    </row>
    <row r="6" spans="2:17" ht="15">
      <c r="B6" s="21" t="s">
        <v>3</v>
      </c>
      <c r="C6" s="21" t="s">
        <v>3</v>
      </c>
      <c r="D6" s="21" t="s">
        <v>3</v>
      </c>
      <c r="E6" s="21" t="s">
        <v>3</v>
      </c>
      <c r="F6" s="21" t="s">
        <v>3</v>
      </c>
      <c r="G6" s="21" t="s">
        <v>3</v>
      </c>
      <c r="H6" s="21" t="s">
        <v>3</v>
      </c>
      <c r="I6" s="21" t="s">
        <v>3</v>
      </c>
      <c r="J6" s="21" t="s">
        <v>3</v>
      </c>
      <c r="K6" s="21" t="s">
        <v>3</v>
      </c>
      <c r="L6" s="21" t="s">
        <v>3</v>
      </c>
      <c r="M6" s="21" t="s">
        <v>3</v>
      </c>
      <c r="N6" s="21" t="s">
        <v>3</v>
      </c>
    </row>
    <row r="7" spans="2:17">
      <c r="B7" t="s">
        <v>90</v>
      </c>
      <c r="E7" s="15">
        <f>'Full Historical Statements'!E22</f>
        <v>44538</v>
      </c>
      <c r="F7" s="15">
        <f>'Full Historical Statements'!F22</f>
        <v>46710</v>
      </c>
      <c r="G7" s="15">
        <f>'Full Historical Statements'!G22</f>
        <v>51217</v>
      </c>
      <c r="H7" s="15">
        <f>'Full Historical Statements'!H22</f>
        <v>51362</v>
      </c>
      <c r="I7" s="15">
        <f>'Full Historical Statements'!I22</f>
        <v>46309</v>
      </c>
      <c r="J7" s="16">
        <f>'Full Historical Statements'!J22</f>
        <v>46772.090000000004</v>
      </c>
      <c r="K7" s="16">
        <f>'Full Historical Statements'!K22</f>
        <v>50046.136300000006</v>
      </c>
      <c r="L7" s="16">
        <f>'Full Historical Statements'!L22</f>
        <v>54049.827204000008</v>
      </c>
      <c r="M7" s="16">
        <f>'Full Historical Statements'!M22</f>
        <v>58914.311652360011</v>
      </c>
      <c r="N7" s="16">
        <f>'Full Historical Statements'!N22</f>
        <v>64216.599701072417</v>
      </c>
    </row>
    <row r="8" spans="2:17">
      <c r="B8" t="s">
        <v>5</v>
      </c>
      <c r="E8" s="15">
        <f>'Full Historical Statements'!E23</f>
        <v>24576</v>
      </c>
      <c r="F8" s="15">
        <f>'Full Historical Statements'!F23</f>
        <v>25231</v>
      </c>
      <c r="G8" s="15">
        <f>'Full Historical Statements'!G23</f>
        <v>28925</v>
      </c>
      <c r="H8" s="15">
        <f>'Full Historical Statements'!H23</f>
        <v>28475</v>
      </c>
      <c r="I8" s="15">
        <f>'Full Historical Statements'!I23</f>
        <v>26519</v>
      </c>
      <c r="J8" s="16">
        <f>'Full Historical Statements'!J23</f>
        <v>27127.8122</v>
      </c>
      <c r="K8" s="16">
        <f>'Full Historical Statements'!K23</f>
        <v>28025.836328000005</v>
      </c>
      <c r="L8" s="16">
        <f>'Full Historical Statements'!L23</f>
        <v>29186.906690160005</v>
      </c>
      <c r="M8" s="16">
        <f>'Full Historical Statements'!M23</f>
        <v>30635.442059227207</v>
      </c>
      <c r="N8" s="16">
        <f>'Full Historical Statements'!N23</f>
        <v>33392.631844557654</v>
      </c>
    </row>
    <row r="9" spans="2:17" ht="15">
      <c r="B9" s="8" t="s">
        <v>6</v>
      </c>
      <c r="C9" s="8"/>
      <c r="D9" s="8"/>
      <c r="E9" s="17">
        <f>'Full Historical Statements'!E24</f>
        <v>19962</v>
      </c>
      <c r="F9" s="17">
        <f>'Full Historical Statements'!F24</f>
        <v>21479</v>
      </c>
      <c r="G9" s="17">
        <f>'Full Historical Statements'!G24</f>
        <v>22292</v>
      </c>
      <c r="H9" s="17">
        <f>'Full Historical Statements'!H24</f>
        <v>22887</v>
      </c>
      <c r="I9" s="17">
        <f>'Full Historical Statements'!I24</f>
        <v>19790</v>
      </c>
      <c r="J9" s="10">
        <f>'Full Historical Statements'!J24</f>
        <v>19644.277800000003</v>
      </c>
      <c r="K9" s="10">
        <f>'Full Historical Statements'!K24</f>
        <v>22020.299972000001</v>
      </c>
      <c r="L9" s="10">
        <f>'Full Historical Statements'!L24</f>
        <v>24862.920513840003</v>
      </c>
      <c r="M9" s="10">
        <f>'Full Historical Statements'!M24</f>
        <v>28278.869593132804</v>
      </c>
      <c r="N9" s="10">
        <f>'Full Historical Statements'!N24</f>
        <v>30823.967856514762</v>
      </c>
    </row>
    <row r="10" spans="2:17">
      <c r="B10" t="s">
        <v>91</v>
      </c>
      <c r="E10" s="15">
        <f>'Full Historical Statements'!E27</f>
        <v>13025</v>
      </c>
      <c r="F10" s="15">
        <f>'Full Historical Statements'!F27</f>
        <v>14804</v>
      </c>
      <c r="G10" s="15">
        <f>'Full Historical Statements'!G27</f>
        <v>16377</v>
      </c>
      <c r="H10" s="15">
        <f>'Full Historical Statements'!H27</f>
        <v>16576</v>
      </c>
      <c r="I10" s="15">
        <f>'Full Historical Statements'!I27</f>
        <v>16088</v>
      </c>
      <c r="J10" s="16">
        <f>'Full Historical Statements'!J27</f>
        <v>16370.2315</v>
      </c>
      <c r="K10" s="16">
        <f>'Full Historical Statements'!K27</f>
        <v>18016.609068000002</v>
      </c>
      <c r="L10" s="16">
        <f>'Full Historical Statements'!L27</f>
        <v>19457.937793440004</v>
      </c>
      <c r="M10" s="16">
        <f>'Full Historical Statements'!M27</f>
        <v>21209.152194849605</v>
      </c>
      <c r="N10" s="16">
        <f>'Full Historical Statements'!N27</f>
        <v>23117.975892386068</v>
      </c>
    </row>
    <row r="11" spans="2:17" ht="15">
      <c r="B11" s="8" t="s">
        <v>10</v>
      </c>
      <c r="C11" s="8"/>
      <c r="D11" s="8"/>
      <c r="E11" s="17">
        <f>'Full Historical Statements'!E28</f>
        <v>6937</v>
      </c>
      <c r="F11" s="17">
        <f>'Full Historical Statements'!F28</f>
        <v>6675</v>
      </c>
      <c r="G11" s="17">
        <f>'Full Historical Statements'!G28</f>
        <v>5915</v>
      </c>
      <c r="H11" s="17">
        <f>'Full Historical Statements'!H28</f>
        <v>6311</v>
      </c>
      <c r="I11" s="17">
        <f>'Full Historical Statements'!I28</f>
        <v>3702</v>
      </c>
      <c r="J11" s="10">
        <f>'Full Historical Statements'!J28</f>
        <v>3274.0463000000036</v>
      </c>
      <c r="K11" s="10">
        <f>'Full Historical Statements'!K28</f>
        <v>4003.6909039999991</v>
      </c>
      <c r="L11" s="10">
        <f>'Full Historical Statements'!L28</f>
        <v>5404.9827203999994</v>
      </c>
      <c r="M11" s="10">
        <f>'Full Historical Statements'!M28</f>
        <v>7069.7173982831991</v>
      </c>
      <c r="N11" s="10">
        <f>'Full Historical Statements'!N28</f>
        <v>7705.9919641286942</v>
      </c>
    </row>
    <row r="12" spans="2:17">
      <c r="B12" t="s">
        <v>11</v>
      </c>
      <c r="E12" s="15">
        <f>'Full Historical Statements'!E29</f>
        <v>262</v>
      </c>
      <c r="F12" s="15">
        <f>'Full Historical Statements'!F29</f>
        <v>205</v>
      </c>
      <c r="G12" s="15">
        <f>'Full Historical Statements'!G29</f>
        <v>-6</v>
      </c>
      <c r="H12" s="15">
        <f>'Full Historical Statements'!H29</f>
        <v>-161</v>
      </c>
      <c r="I12" s="15">
        <f>'Full Historical Statements'!I29</f>
        <v>-107</v>
      </c>
      <c r="J12" s="16">
        <f>'Full Historical Statements'!J29</f>
        <v>140.16</v>
      </c>
      <c r="K12" s="16">
        <f>'Full Historical Statements'!K29</f>
        <v>140.14000000000001</v>
      </c>
      <c r="L12" s="16">
        <f>'Full Historical Statements'!L29</f>
        <v>140.14000000000001</v>
      </c>
      <c r="M12" s="16">
        <f>'Full Historical Statements'!M29</f>
        <v>130.14000000000001</v>
      </c>
      <c r="N12" s="16">
        <f>'Full Historical Statements'!N29</f>
        <v>130.36000000000001</v>
      </c>
    </row>
    <row r="13" spans="2:17">
      <c r="B13" t="s">
        <v>12</v>
      </c>
      <c r="E13" s="15">
        <f>'Full Historical Statements'!E30</f>
        <v>14</v>
      </c>
      <c r="F13" s="15">
        <f>'Full Historical Statements'!F30</f>
        <v>-181</v>
      </c>
      <c r="G13" s="15">
        <f>'Full Historical Statements'!G30</f>
        <v>-280</v>
      </c>
      <c r="H13" s="15">
        <f>'Full Historical Statements'!H30</f>
        <v>-228</v>
      </c>
      <c r="I13" s="15">
        <f>'Full Historical Statements'!I30</f>
        <v>-76</v>
      </c>
      <c r="J13" s="16">
        <f>'Full Historical Statements'!J30</f>
        <v>-76</v>
      </c>
      <c r="K13" s="16">
        <f>'Full Historical Statements'!K30</f>
        <v>-76</v>
      </c>
      <c r="L13" s="16">
        <f>'Full Historical Statements'!L30</f>
        <v>-76</v>
      </c>
      <c r="M13" s="16">
        <f>'Full Historical Statements'!M30</f>
        <v>-76</v>
      </c>
      <c r="N13" s="16">
        <f>'Full Historical Statements'!N30</f>
        <v>-76</v>
      </c>
    </row>
    <row r="14" spans="2:17" ht="15">
      <c r="B14" s="8" t="s">
        <v>13</v>
      </c>
      <c r="C14" s="8"/>
      <c r="D14" s="8"/>
      <c r="E14" s="17">
        <f>'Full Historical Statements'!E31</f>
        <v>6661</v>
      </c>
      <c r="F14" s="17">
        <f>'Full Historical Statements'!F31</f>
        <v>6651</v>
      </c>
      <c r="G14" s="17">
        <f>'Full Historical Statements'!G31</f>
        <v>6201</v>
      </c>
      <c r="H14" s="17">
        <f>'Full Historical Statements'!H31</f>
        <v>6700</v>
      </c>
      <c r="I14" s="17">
        <f>'Full Historical Statements'!I31</f>
        <v>3885</v>
      </c>
      <c r="J14" s="10">
        <f>'Full Historical Statements'!J31</f>
        <v>3209.8863000000038</v>
      </c>
      <c r="K14" s="10">
        <f>'Full Historical Statements'!K31</f>
        <v>3939.5509039999993</v>
      </c>
      <c r="L14" s="10">
        <f>'Full Historical Statements'!L31</f>
        <v>5340.8427203999991</v>
      </c>
      <c r="M14" s="10">
        <f>'Full Historical Statements'!M31</f>
        <v>7015.5773982831988</v>
      </c>
      <c r="N14" s="10">
        <f>'Full Historical Statements'!N31</f>
        <v>7651.6319641286946</v>
      </c>
    </row>
    <row r="15" spans="2:17">
      <c r="B15" t="s">
        <v>14</v>
      </c>
      <c r="E15" s="15">
        <f>'Full Historical Statements'!E32</f>
        <v>934</v>
      </c>
      <c r="F15" s="15">
        <f>'Full Historical Statements'!F32</f>
        <v>605</v>
      </c>
      <c r="G15" s="15">
        <f>'Full Historical Statements'!G32</f>
        <v>1131</v>
      </c>
      <c r="H15" s="15">
        <f>'Full Historical Statements'!H32</f>
        <v>1000</v>
      </c>
      <c r="I15" s="15">
        <f>'Full Historical Statements'!I32</f>
        <v>666</v>
      </c>
      <c r="J15" s="16">
        <f>'Full Historical Statements'!J32</f>
        <v>481.48294500000054</v>
      </c>
      <c r="K15" s="16">
        <f>'Full Historical Statements'!K32</f>
        <v>590.93263559999991</v>
      </c>
      <c r="L15" s="16">
        <f>'Full Historical Statements'!L32</f>
        <v>801.12640805999979</v>
      </c>
      <c r="M15" s="16">
        <f>'Full Historical Statements'!M32</f>
        <v>1052.3366097424798</v>
      </c>
      <c r="N15" s="16">
        <f>'Full Historical Statements'!N32</f>
        <v>1147.7447946193042</v>
      </c>
    </row>
    <row r="16" spans="2:17" ht="15">
      <c r="B16" s="8" t="s">
        <v>15</v>
      </c>
      <c r="C16" s="8"/>
      <c r="D16" s="8"/>
      <c r="E16" s="17">
        <f>'Full Historical Statements'!E80</f>
        <v>5727</v>
      </c>
      <c r="F16" s="17">
        <f>'Full Historical Statements'!F80</f>
        <v>6046</v>
      </c>
      <c r="G16" s="17">
        <f>'Full Historical Statements'!G80</f>
        <v>5070</v>
      </c>
      <c r="H16" s="17">
        <f>'Full Historical Statements'!H80</f>
        <v>5700</v>
      </c>
      <c r="I16" s="17">
        <f>'Full Historical Statements'!I80</f>
        <v>3219</v>
      </c>
      <c r="J16" s="10">
        <f>'Full Historical Statements'!J33</f>
        <v>2728.4033550000031</v>
      </c>
      <c r="K16" s="10">
        <f>'Full Historical Statements'!K33</f>
        <v>3348.6182683999996</v>
      </c>
      <c r="L16" s="10">
        <f>'Full Historical Statements'!L33</f>
        <v>4539.7163123399996</v>
      </c>
      <c r="M16" s="10">
        <f>'Full Historical Statements'!M33</f>
        <v>5963.2407885407192</v>
      </c>
      <c r="N16" s="10">
        <f>'Full Historical Statements'!N33</f>
        <v>6503.8871695093903</v>
      </c>
    </row>
    <row r="19" spans="2:14" ht="15">
      <c r="B19" s="21" t="s">
        <v>20</v>
      </c>
      <c r="C19" s="21" t="s">
        <v>20</v>
      </c>
      <c r="D19" s="21" t="s">
        <v>20</v>
      </c>
      <c r="E19" s="21" t="s">
        <v>20</v>
      </c>
      <c r="F19" s="21" t="s">
        <v>20</v>
      </c>
      <c r="G19" s="21" t="s">
        <v>20</v>
      </c>
      <c r="H19" s="21" t="s">
        <v>20</v>
      </c>
      <c r="I19" s="21" t="s">
        <v>20</v>
      </c>
      <c r="J19" s="21" t="s">
        <v>20</v>
      </c>
      <c r="K19" s="21" t="s">
        <v>20</v>
      </c>
      <c r="L19" s="21" t="s">
        <v>20</v>
      </c>
      <c r="M19" s="21" t="s">
        <v>20</v>
      </c>
      <c r="N19" s="21" t="s">
        <v>20</v>
      </c>
    </row>
    <row r="20" spans="2:14">
      <c r="B20" t="s">
        <v>21</v>
      </c>
      <c r="E20" s="15">
        <f>'Full Historical Statements'!E41</f>
        <v>9889</v>
      </c>
      <c r="F20" s="15">
        <f>'Full Historical Statements'!F41</f>
        <v>8574</v>
      </c>
      <c r="G20" s="15">
        <f>'Full Historical Statements'!G41</f>
        <v>7441</v>
      </c>
      <c r="H20" s="15">
        <f>'Full Historical Statements'!H41</f>
        <v>9860</v>
      </c>
      <c r="I20" s="15">
        <f>'Full Historical Statements'!I41</f>
        <v>7464</v>
      </c>
      <c r="J20" s="5">
        <f>'Full Historical Statements'!J41</f>
        <v>7380.0330408198352</v>
      </c>
      <c r="K20" s="5">
        <f>'Full Historical Statements'!K41</f>
        <v>9028.7919254031731</v>
      </c>
      <c r="L20" s="5">
        <f>'Full Historical Statements'!L41</f>
        <v>9830.9289793829867</v>
      </c>
      <c r="M20" s="5">
        <f>'Full Historical Statements'!M41</f>
        <v>11740.445968746822</v>
      </c>
      <c r="N20" s="5">
        <f>'Full Historical Statements'!N41</f>
        <v>13586.529766451296</v>
      </c>
    </row>
    <row r="21" spans="2:14">
      <c r="B21" t="s">
        <v>22</v>
      </c>
      <c r="E21" s="15">
        <f>'Full Historical Statements'!E42</f>
        <v>3587</v>
      </c>
      <c r="F21" s="15">
        <f>'Full Historical Statements'!F42</f>
        <v>4423</v>
      </c>
      <c r="G21" s="15">
        <f>'Full Historical Statements'!G42</f>
        <v>3234</v>
      </c>
      <c r="H21" s="15">
        <f>'Full Historical Statements'!H42</f>
        <v>1722</v>
      </c>
      <c r="I21" s="15">
        <f>'Full Historical Statements'!I42</f>
        <v>1687</v>
      </c>
      <c r="J21" s="16">
        <f>'Full Historical Statements'!J42</f>
        <v>2214.3333333333335</v>
      </c>
      <c r="K21" s="16">
        <f>'Full Historical Statements'!K42</f>
        <v>1874.4444444444446</v>
      </c>
      <c r="L21" s="16">
        <f>'Full Historical Statements'!L42</f>
        <v>1925.2592592592594</v>
      </c>
      <c r="M21" s="16">
        <f>'Full Historical Statements'!M42</f>
        <v>2004.6790123456792</v>
      </c>
      <c r="N21" s="16">
        <f>'Full Historical Statements'!N42</f>
        <v>1934.7942386831276</v>
      </c>
    </row>
    <row r="22" spans="2:14">
      <c r="B22" t="s">
        <v>23</v>
      </c>
      <c r="E22" s="15">
        <f>'Full Historical Statements'!E43</f>
        <v>4463</v>
      </c>
      <c r="F22" s="15">
        <f>'Full Historical Statements'!F43</f>
        <v>4667</v>
      </c>
      <c r="G22" s="15">
        <f>'Full Historical Statements'!G43</f>
        <v>4131</v>
      </c>
      <c r="H22" s="15">
        <f>'Full Historical Statements'!H43</f>
        <v>4427</v>
      </c>
      <c r="I22" s="15">
        <f>'Full Historical Statements'!I43</f>
        <v>4717</v>
      </c>
      <c r="J22" s="16">
        <f>'Full Historical Statements'!J43</f>
        <v>3972.4240821917811</v>
      </c>
      <c r="K22" s="16">
        <f>'Full Historical Statements'!K43</f>
        <v>4250.4937679452059</v>
      </c>
      <c r="L22" s="16">
        <f>'Full Historical Statements'!L43</f>
        <v>4590.5332693808223</v>
      </c>
      <c r="M22" s="16">
        <f>'Full Historical Statements'!M43</f>
        <v>5003.681263625097</v>
      </c>
      <c r="N22" s="16">
        <f>'Full Historical Statements'!N43</f>
        <v>5454.0125773513564</v>
      </c>
    </row>
    <row r="23" spans="2:14">
      <c r="B23" t="s">
        <v>24</v>
      </c>
      <c r="E23" s="15">
        <f>'Full Historical Statements'!E44</f>
        <v>6854</v>
      </c>
      <c r="F23" s="15">
        <f>'Full Historical Statements'!F44</f>
        <v>8420</v>
      </c>
      <c r="G23" s="15">
        <f>'Full Historical Statements'!G44</f>
        <v>8454</v>
      </c>
      <c r="H23" s="15">
        <f>'Full Historical Statements'!H44</f>
        <v>7519</v>
      </c>
      <c r="I23" s="15">
        <f>'Full Historical Statements'!I44</f>
        <v>7489</v>
      </c>
      <c r="J23" s="16">
        <f>'Full Historical Statements'!J44</f>
        <v>7060.6634493150686</v>
      </c>
      <c r="K23" s="16">
        <f>'Full Historical Statements'!K44</f>
        <v>7140.8295301479466</v>
      </c>
      <c r="L23" s="16">
        <f>'Full Historical Statements'!L44</f>
        <v>7196.7715126421926</v>
      </c>
      <c r="M23" s="16">
        <f>'Full Historical Statements'!M44</f>
        <v>7553.9446173436954</v>
      </c>
      <c r="N23" s="16">
        <f>'Full Historical Statements'!N44</f>
        <v>8233.7996329046273</v>
      </c>
    </row>
    <row r="24" spans="2:14">
      <c r="B24" t="s">
        <v>92</v>
      </c>
      <c r="E24" s="15">
        <f>'Full Historical Statements'!E45</f>
        <v>1498</v>
      </c>
      <c r="F24" s="15">
        <f>'Full Historical Statements'!F45</f>
        <v>2129</v>
      </c>
      <c r="G24" s="15">
        <f>'Full Historical Statements'!G45</f>
        <v>1942</v>
      </c>
      <c r="H24" s="15">
        <f>'Full Historical Statements'!H45</f>
        <v>1854</v>
      </c>
      <c r="I24" s="15">
        <f>'Full Historical Statements'!I45</f>
        <v>2005</v>
      </c>
      <c r="J24" s="16">
        <f>'Full Historical Statements'!J45</f>
        <v>1933.6666666666667</v>
      </c>
      <c r="K24" s="16">
        <f>'Full Historical Statements'!K45</f>
        <v>1930.8888888888889</v>
      </c>
      <c r="L24" s="16">
        <f>'Full Historical Statements'!L45</f>
        <v>1956.5185185185185</v>
      </c>
      <c r="M24" s="16">
        <f>'Full Historical Statements'!M45</f>
        <v>1940.358024691358</v>
      </c>
      <c r="N24" s="16">
        <f>'Full Historical Statements'!N45</f>
        <v>1942.5884773662553</v>
      </c>
    </row>
    <row r="25" spans="2:14" ht="15">
      <c r="B25" s="8" t="s">
        <v>26</v>
      </c>
      <c r="C25" s="8"/>
      <c r="D25" s="8"/>
      <c r="E25" s="10">
        <f>SUM(E20:E24)</f>
        <v>26291</v>
      </c>
      <c r="F25" s="10">
        <f>SUM(F20:F24)</f>
        <v>28213</v>
      </c>
      <c r="G25" s="10">
        <f>SUM(G20:G24)</f>
        <v>25202</v>
      </c>
      <c r="H25" s="10">
        <f>SUM(H20:H24)</f>
        <v>25382</v>
      </c>
      <c r="I25" s="10">
        <f>SUM(I20:I24)</f>
        <v>23362</v>
      </c>
      <c r="J25" s="10">
        <f>'Full Historical Statements'!J46</f>
        <v>22561.120572326687</v>
      </c>
      <c r="K25" s="10">
        <f>'Full Historical Statements'!K46</f>
        <v>24225.448556829659</v>
      </c>
      <c r="L25" s="10">
        <f>'Full Historical Statements'!L46</f>
        <v>25500.011539183779</v>
      </c>
      <c r="M25" s="10">
        <f>'Full Historical Statements'!M46</f>
        <v>28243.108886752652</v>
      </c>
      <c r="N25" s="10">
        <f>'Full Historical Statements'!N46</f>
        <v>31151.724692756659</v>
      </c>
    </row>
    <row r="26" spans="2:14">
      <c r="B26" t="s">
        <v>27</v>
      </c>
      <c r="E26" s="15">
        <f>'Full Historical Statements'!E47</f>
        <v>4904</v>
      </c>
      <c r="F26" s="15">
        <f>'Full Historical Statements'!F47</f>
        <v>4791</v>
      </c>
      <c r="G26" s="15">
        <f>'Full Historical Statements'!G47</f>
        <v>5081</v>
      </c>
      <c r="H26" s="15">
        <f>'Full Historical Statements'!H47</f>
        <v>5000</v>
      </c>
      <c r="I26" s="15">
        <f>'Full Historical Statements'!I47</f>
        <v>4828</v>
      </c>
      <c r="J26" s="16">
        <f>'Full Historical Statements'!J47</f>
        <v>4456.8552706310811</v>
      </c>
      <c r="K26" s="16">
        <f>'Full Historical Statements'!K47</f>
        <v>5256.410232904761</v>
      </c>
      <c r="L26" s="16">
        <f>'Full Historical Statements'!L47</f>
        <v>6053.1965458414106</v>
      </c>
      <c r="M26" s="16">
        <f>'Full Historical Statements'!M47</f>
        <v>6878.2216756894322</v>
      </c>
      <c r="N26" s="16">
        <f>'Full Historical Statements'!N47</f>
        <v>7727.0063682756136</v>
      </c>
    </row>
    <row r="27" spans="2:14">
      <c r="B27" t="s">
        <v>28</v>
      </c>
      <c r="E27" s="15">
        <f>'Full Historical Statements'!E48</f>
        <v>3113</v>
      </c>
      <c r="F27" s="15">
        <f>'Full Historical Statements'!F48</f>
        <v>2926</v>
      </c>
      <c r="G27" s="15">
        <f>'Full Historical Statements'!G48</f>
        <v>2923</v>
      </c>
      <c r="H27" s="15">
        <f>'Full Historical Statements'!H48</f>
        <v>2718</v>
      </c>
      <c r="I27" s="15">
        <f>'Full Historical Statements'!I48</f>
        <v>2712</v>
      </c>
      <c r="J27" s="16">
        <f>'Full Historical Statements'!J48</f>
        <v>2784.3333333333335</v>
      </c>
      <c r="K27" s="16">
        <f>'Full Historical Statements'!K48</f>
        <v>2738.1111111111113</v>
      </c>
      <c r="L27" s="16">
        <f>'Full Historical Statements'!L48</f>
        <v>2744.8148148148152</v>
      </c>
      <c r="M27" s="16">
        <f>'Full Historical Statements'!M48</f>
        <v>2755.7530864197538</v>
      </c>
      <c r="N27" s="16">
        <f>'Full Historical Statements'!N48</f>
        <v>2746.2263374485606</v>
      </c>
    </row>
    <row r="28" spans="2:14">
      <c r="B28" t="s">
        <v>93</v>
      </c>
      <c r="E28" s="15">
        <f>'Full Historical Statements'!E49+'Full Historical Statements'!E50</f>
        <v>511</v>
      </c>
      <c r="F28" s="15">
        <f>'Full Historical Statements'!F49+'Full Historical Statements'!F50</f>
        <v>570</v>
      </c>
      <c r="G28" s="15">
        <f>'Full Historical Statements'!G49+'Full Historical Statements'!G50</f>
        <v>555</v>
      </c>
      <c r="H28" s="15">
        <f>'Full Historical Statements'!H49+'Full Historical Statements'!H50</f>
        <v>499</v>
      </c>
      <c r="I28" s="15">
        <f>'Full Historical Statements'!I49+'Full Historical Statements'!I50</f>
        <v>499</v>
      </c>
      <c r="J28" s="16">
        <f>'Full Historical Statements'!J49</f>
        <v>300</v>
      </c>
      <c r="K28" s="16">
        <f>'Full Historical Statements'!K49</f>
        <v>300</v>
      </c>
      <c r="L28" s="16">
        <f>'Full Historical Statements'!L49</f>
        <v>300</v>
      </c>
      <c r="M28" s="16">
        <f>'Full Historical Statements'!M49</f>
        <v>300</v>
      </c>
      <c r="N28" s="16">
        <f>'Full Historical Statements'!N49</f>
        <v>300</v>
      </c>
    </row>
    <row r="29" spans="2:14">
      <c r="B29" t="s">
        <v>94</v>
      </c>
      <c r="E29" s="15">
        <f>'Full Historical Statements'!E51</f>
        <v>2921</v>
      </c>
      <c r="F29" s="15">
        <f>'Full Historical Statements'!F51</f>
        <v>3821</v>
      </c>
      <c r="G29" s="15">
        <f>'Full Historical Statements'!G51</f>
        <v>3770</v>
      </c>
      <c r="H29" s="15">
        <f>'Full Historical Statements'!H51</f>
        <v>4511</v>
      </c>
      <c r="I29" s="15">
        <f>'Full Historical Statements'!I51</f>
        <v>5178</v>
      </c>
      <c r="J29" s="16">
        <f>'Full Historical Statements'!J50+'Full Historical Statements'!J51</f>
        <v>4826.333333333333</v>
      </c>
      <c r="K29" s="16">
        <f>'Full Historical Statements'!K50+'Full Historical Statements'!K51</f>
        <v>4965.1111111111104</v>
      </c>
      <c r="L29" s="16">
        <f>'Full Historical Statements'!L50+'Full Historical Statements'!L51</f>
        <v>5036.4814814814808</v>
      </c>
      <c r="M29" s="16">
        <f>'Full Historical Statements'!M50+'Full Historical Statements'!M51</f>
        <v>4909.3086419753081</v>
      </c>
      <c r="N29" s="16">
        <f>'Full Historical Statements'!N50+'Full Historical Statements'!N51</f>
        <v>4970.3004115226331</v>
      </c>
    </row>
    <row r="30" spans="2:14" ht="15">
      <c r="B30" s="8" t="s">
        <v>32</v>
      </c>
      <c r="C30" s="8"/>
      <c r="D30" s="8"/>
      <c r="E30" s="10">
        <f>SUM(E25:E29)</f>
        <v>37740</v>
      </c>
      <c r="F30" s="10">
        <f>SUM(F25:F29)</f>
        <v>40321</v>
      </c>
      <c r="G30" s="10">
        <f>SUM(G25:G29)</f>
        <v>37531</v>
      </c>
      <c r="H30" s="10">
        <f>SUM(H25:H29)</f>
        <v>38110</v>
      </c>
      <c r="I30" s="10">
        <f>SUM(I25:I29)</f>
        <v>36579</v>
      </c>
      <c r="J30" s="10">
        <f t="shared" ref="J30:N30" si="0">SUM(J25:J29)</f>
        <v>34928.642509624435</v>
      </c>
      <c r="K30" s="10">
        <f t="shared" si="0"/>
        <v>37485.081011956638</v>
      </c>
      <c r="L30" s="10">
        <f t="shared" si="0"/>
        <v>39634.504381321487</v>
      </c>
      <c r="M30" s="10">
        <f t="shared" si="0"/>
        <v>43086.392290837146</v>
      </c>
      <c r="N30" s="10">
        <f t="shared" si="0"/>
        <v>46895.257810003473</v>
      </c>
    </row>
    <row r="33" spans="2:14" ht="15">
      <c r="B33" s="21" t="s">
        <v>33</v>
      </c>
      <c r="C33" s="21" t="s">
        <v>33</v>
      </c>
      <c r="D33" s="21" t="s">
        <v>33</v>
      </c>
      <c r="E33" s="21" t="s">
        <v>33</v>
      </c>
      <c r="F33" s="21" t="s">
        <v>33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 t="s">
        <v>33</v>
      </c>
      <c r="N33" s="21" t="s">
        <v>33</v>
      </c>
    </row>
    <row r="34" spans="2:14">
      <c r="B34" t="s">
        <v>36</v>
      </c>
      <c r="E34" s="15">
        <f>'Full Historical Statements'!E58</f>
        <v>2836</v>
      </c>
      <c r="F34" s="15">
        <f>'Full Historical Statements'!F58</f>
        <v>3358</v>
      </c>
      <c r="G34" s="15">
        <f>'Full Historical Statements'!G58</f>
        <v>2862</v>
      </c>
      <c r="H34" s="15">
        <f>'Full Historical Statements'!H58</f>
        <v>2851</v>
      </c>
      <c r="I34" s="15">
        <f>'Full Historical Statements'!I58</f>
        <v>3479</v>
      </c>
      <c r="J34" s="16">
        <f>'Full Historical Statements'!J58</f>
        <v>2972.9109260273972</v>
      </c>
      <c r="K34" s="16">
        <f>'Full Historical Statements'!K58</f>
        <v>3071.3245290958907</v>
      </c>
      <c r="L34" s="16">
        <f>'Full Historical Statements'!L58</f>
        <v>3198.5651167298633</v>
      </c>
      <c r="M34" s="16">
        <f>'Full Historical Statements'!M58</f>
        <v>3357.3087188194199</v>
      </c>
      <c r="N34" s="16">
        <f>'Full Historical Statements'!N58</f>
        <v>3659.4665035131675</v>
      </c>
    </row>
    <row r="35" spans="2:14">
      <c r="B35" t="s">
        <v>95</v>
      </c>
      <c r="E35" s="15">
        <f>'Full Historical Statements'!E56+'Full Historical Statements'!E57+'Full Historical Statements'!E59+'Full Historical Statements'!E60+'Full Historical Statements'!E61</f>
        <v>6838</v>
      </c>
      <c r="F35" s="15">
        <f>'Full Historical Statements'!F56+'Full Historical Statements'!F57+'Full Historical Statements'!F59+'Full Historical Statements'!F60+'Full Historical Statements'!F61</f>
        <v>7372</v>
      </c>
      <c r="G35" s="15">
        <f>'Full Historical Statements'!G56+'Full Historical Statements'!G57+'Full Historical Statements'!G59+'Full Historical Statements'!G60+'Full Historical Statements'!G61</f>
        <v>6394</v>
      </c>
      <c r="H35" s="15">
        <f>'Full Historical Statements'!H56+'Full Historical Statements'!H57+'Full Historical Statements'!H59+'Full Historical Statements'!H60+'Full Historical Statements'!H61</f>
        <v>7742</v>
      </c>
      <c r="I35" s="15">
        <f>'Full Historical Statements'!I56+'Full Historical Statements'!I57+'Full Historical Statements'!I59+'Full Historical Statements'!I60+'Full Historical Statements'!I61</f>
        <v>7087</v>
      </c>
      <c r="J35" s="16">
        <f>'Full Historical Statements'!J56+'Full Historical Statements'!J57+'Full Historical Statements'!J59+'Full Historical Statements'!J60+'Full Historical Statements'!J61</f>
        <v>7740.333333333333</v>
      </c>
      <c r="K35" s="16">
        <f>'Full Historical Statements'!K56+'Full Historical Statements'!K57+'Full Historical Statements'!K59+'Full Historical Statements'!K60+'Full Historical Statements'!K61</f>
        <v>7856.1111111111104</v>
      </c>
      <c r="L35" s="16">
        <f>'Full Historical Statements'!L56+'Full Historical Statements'!L57+'Full Historical Statements'!L59+'Full Historical Statements'!L60+'Full Historical Statements'!L61</f>
        <v>6894.4814814814818</v>
      </c>
      <c r="M35" s="16">
        <f>'Full Historical Statements'!M56+'Full Historical Statements'!M57+'Full Historical Statements'!M59+'Full Historical Statements'!M60+'Full Historical Statements'!M61</f>
        <v>6830.308641975309</v>
      </c>
      <c r="N35" s="16">
        <f>'Full Historical Statements'!N56+'Full Historical Statements'!N57+'Full Historical Statements'!N59+'Full Historical Statements'!N60+'Full Historical Statements'!N61</f>
        <v>8360.3004115226322</v>
      </c>
    </row>
    <row r="36" spans="2:14" ht="15">
      <c r="B36" s="8" t="s">
        <v>40</v>
      </c>
      <c r="C36" s="8"/>
      <c r="D36" s="8"/>
      <c r="E36" s="10">
        <f>SUM(E34:E35)</f>
        <v>9674</v>
      </c>
      <c r="F36" s="10">
        <f>SUM(F34:F35)</f>
        <v>10730</v>
      </c>
      <c r="G36" s="10">
        <f>SUM(G34:G35)</f>
        <v>9256</v>
      </c>
      <c r="H36" s="10">
        <f>SUM(H34:H35)</f>
        <v>10593</v>
      </c>
      <c r="I36" s="10">
        <f>SUM(I34:I35)</f>
        <v>10566</v>
      </c>
      <c r="J36" s="10">
        <f t="shared" ref="J36:N36" si="1">SUM(J34:J35)</f>
        <v>10713.24425936073</v>
      </c>
      <c r="K36" s="10">
        <f t="shared" si="1"/>
        <v>10927.435640207001</v>
      </c>
      <c r="L36" s="10">
        <f t="shared" si="1"/>
        <v>10093.046598211346</v>
      </c>
      <c r="M36" s="10">
        <f t="shared" si="1"/>
        <v>10187.617360794729</v>
      </c>
      <c r="N36" s="10">
        <f t="shared" si="1"/>
        <v>12019.7669150358</v>
      </c>
    </row>
    <row r="37" spans="2:14">
      <c r="B37" t="s">
        <v>41</v>
      </c>
      <c r="E37" s="15">
        <f>'Full Historical Statements'!E63</f>
        <v>9413</v>
      </c>
      <c r="F37" s="15">
        <f>'Full Historical Statements'!F63</f>
        <v>8920</v>
      </c>
      <c r="G37" s="15">
        <f>'Full Historical Statements'!G63</f>
        <v>8927</v>
      </c>
      <c r="H37" s="15">
        <f>'Full Historical Statements'!H63</f>
        <v>7903</v>
      </c>
      <c r="I37" s="15">
        <f>'Full Historical Statements'!I63</f>
        <v>7961</v>
      </c>
      <c r="J37" s="16">
        <f>'Full Historical Statements'!J63</f>
        <v>7008</v>
      </c>
      <c r="K37" s="16">
        <f>'Full Historical Statements'!K63</f>
        <v>7007</v>
      </c>
      <c r="L37" s="16">
        <f>'Full Historical Statements'!L63</f>
        <v>7007</v>
      </c>
      <c r="M37" s="16">
        <f>'Full Historical Statements'!M63</f>
        <v>6507</v>
      </c>
      <c r="N37" s="16">
        <f>'Full Historical Statements'!N63</f>
        <v>6518</v>
      </c>
    </row>
    <row r="38" spans="2:14">
      <c r="B38" t="s">
        <v>96</v>
      </c>
      <c r="E38" s="15">
        <f>'Full Historical Statements'!E64+'Full Historical Statements'!E65</f>
        <v>5886</v>
      </c>
      <c r="F38" s="15">
        <f>'Full Historical Statements'!F64+'Full Historical Statements'!F65</f>
        <v>5390</v>
      </c>
      <c r="G38" s="15">
        <f>'Full Historical Statements'!G64+'Full Historical Statements'!G65</f>
        <v>5344</v>
      </c>
      <c r="H38" s="15">
        <f>'Full Historical Statements'!H64+'Full Historical Statements'!H65</f>
        <v>5184</v>
      </c>
      <c r="I38" s="15">
        <f>'Full Historical Statements'!I64+'Full Historical Statements'!I65</f>
        <v>4839</v>
      </c>
      <c r="J38" s="16">
        <f>'Full Historical Statements'!J64+'Full Historical Statements'!J65</f>
        <v>5122.3333333333339</v>
      </c>
      <c r="K38" s="16">
        <f>'Full Historical Statements'!K64+'Full Historical Statements'!K65</f>
        <v>5048.4444444444453</v>
      </c>
      <c r="L38" s="16">
        <f>'Full Historical Statements'!L64+'Full Historical Statements'!L65</f>
        <v>5003.2592592592591</v>
      </c>
      <c r="M38" s="16">
        <f>'Full Historical Statements'!M64+'Full Historical Statements'!M65</f>
        <v>5058.0123456790125</v>
      </c>
      <c r="N38" s="16">
        <f>'Full Historical Statements'!N64+'Full Historical Statements'!N65</f>
        <v>5036.5720164609056</v>
      </c>
    </row>
    <row r="39" spans="2:14" ht="15">
      <c r="B39" s="8" t="s">
        <v>44</v>
      </c>
      <c r="C39" s="8"/>
      <c r="D39" s="8"/>
      <c r="E39" s="10">
        <f>E36+E37+E38</f>
        <v>24973</v>
      </c>
      <c r="F39" s="10">
        <f>F36+F37+F38</f>
        <v>25040</v>
      </c>
      <c r="G39" s="10">
        <f>G36+G37+G38</f>
        <v>23527</v>
      </c>
      <c r="H39" s="10">
        <f>H36+H37+H38</f>
        <v>23680</v>
      </c>
      <c r="I39" s="10">
        <f>I36+I37+I38</f>
        <v>23366</v>
      </c>
      <c r="J39" s="10">
        <f t="shared" ref="J39:N39" si="2">J36+J37+J38</f>
        <v>22843.577592694062</v>
      </c>
      <c r="K39" s="10">
        <f t="shared" si="2"/>
        <v>22982.880084651446</v>
      </c>
      <c r="L39" s="10">
        <f t="shared" si="2"/>
        <v>22103.305857470605</v>
      </c>
      <c r="M39" s="10">
        <f t="shared" si="2"/>
        <v>21752.629706473741</v>
      </c>
      <c r="N39" s="10">
        <f t="shared" si="2"/>
        <v>23574.338931496703</v>
      </c>
    </row>
    <row r="42" spans="2:14" ht="15">
      <c r="B42" s="21" t="s">
        <v>45</v>
      </c>
      <c r="C42" s="21" t="s">
        <v>45</v>
      </c>
      <c r="D42" s="21" t="s">
        <v>45</v>
      </c>
      <c r="E42" s="21" t="s">
        <v>45</v>
      </c>
      <c r="F42" s="21" t="s">
        <v>45</v>
      </c>
      <c r="G42" s="21" t="s">
        <v>45</v>
      </c>
      <c r="H42" s="21" t="s">
        <v>45</v>
      </c>
      <c r="I42" s="21" t="s">
        <v>45</v>
      </c>
      <c r="J42" s="21" t="s">
        <v>45</v>
      </c>
      <c r="K42" s="21" t="s">
        <v>45</v>
      </c>
      <c r="L42" s="21" t="s">
        <v>45</v>
      </c>
      <c r="M42" s="21" t="s">
        <v>45</v>
      </c>
      <c r="N42" s="21" t="s">
        <v>45</v>
      </c>
    </row>
    <row r="43" spans="2:14">
      <c r="B43" t="s">
        <v>46</v>
      </c>
      <c r="E43" s="15">
        <f>'Full Historical Statements'!E70</f>
        <v>3</v>
      </c>
      <c r="F43" s="15">
        <f>'Full Historical Statements'!F70</f>
        <v>3</v>
      </c>
      <c r="G43" s="15">
        <f>'Full Historical Statements'!G70</f>
        <v>3</v>
      </c>
      <c r="H43" s="15">
        <f>'Full Historical Statements'!H70</f>
        <v>3</v>
      </c>
      <c r="I43" s="15">
        <f>'Full Historical Statements'!I70</f>
        <v>3</v>
      </c>
      <c r="J43" s="16">
        <f>'Full Historical Statements'!J70</f>
        <v>3</v>
      </c>
      <c r="K43" s="16">
        <f>'Full Historical Statements'!K70</f>
        <v>3</v>
      </c>
      <c r="L43" s="16">
        <f>'Full Historical Statements'!L70</f>
        <v>3</v>
      </c>
      <c r="M43" s="16">
        <f>'Full Historical Statements'!M70</f>
        <v>3</v>
      </c>
      <c r="N43" s="16">
        <f>'Full Historical Statements'!N70</f>
        <v>3</v>
      </c>
    </row>
    <row r="44" spans="2:14">
      <c r="B44" t="s">
        <v>47</v>
      </c>
      <c r="E44" s="15">
        <f>'Full Historical Statements'!E71</f>
        <v>9965</v>
      </c>
      <c r="F44" s="15">
        <f>'Full Historical Statements'!F71</f>
        <v>11484</v>
      </c>
      <c r="G44" s="15">
        <f>'Full Historical Statements'!G71</f>
        <v>12412</v>
      </c>
      <c r="H44" s="15">
        <f>'Full Historical Statements'!H71</f>
        <v>13409</v>
      </c>
      <c r="I44" s="15">
        <f>'Full Historical Statements'!I71</f>
        <v>14195</v>
      </c>
      <c r="J44" s="16">
        <f>'Full Historical Statements'!J71</f>
        <v>15046.7</v>
      </c>
      <c r="K44" s="16">
        <f>'Full Historical Statements'!K71</f>
        <v>16099.969000000001</v>
      </c>
      <c r="L44" s="16">
        <f>'Full Historical Statements'!L71</f>
        <v>17226.966830000001</v>
      </c>
      <c r="M44" s="16">
        <f>'Full Historical Statements'!M71</f>
        <v>18829.074745190002</v>
      </c>
      <c r="N44" s="16">
        <f>'Full Historical Statements'!N71</f>
        <v>20580.178696492672</v>
      </c>
    </row>
    <row r="45" spans="2:14">
      <c r="B45" t="s">
        <v>48</v>
      </c>
      <c r="E45" s="15">
        <f>'Full Historical Statements'!E72</f>
        <v>-380</v>
      </c>
      <c r="F45" s="15">
        <f>'Full Historical Statements'!F72</f>
        <v>318</v>
      </c>
      <c r="G45" s="15">
        <f>'Full Historical Statements'!G72</f>
        <v>231</v>
      </c>
      <c r="H45" s="15">
        <f>'Full Historical Statements'!H72</f>
        <v>53</v>
      </c>
      <c r="I45" s="15">
        <f>'Full Historical Statements'!I72</f>
        <v>-258</v>
      </c>
      <c r="J45" s="16">
        <f>'Full Historical Statements'!J72</f>
        <v>-258</v>
      </c>
      <c r="K45" s="16">
        <f>'Full Historical Statements'!K72</f>
        <v>-258</v>
      </c>
      <c r="L45" s="16">
        <f>'Full Historical Statements'!L72</f>
        <v>-258</v>
      </c>
      <c r="M45" s="16">
        <f>'Full Historical Statements'!M72</f>
        <v>-258</v>
      </c>
      <c r="N45" s="16">
        <f>'Full Historical Statements'!N72</f>
        <v>-258</v>
      </c>
    </row>
    <row r="46" spans="2:14">
      <c r="B46" t="s">
        <v>49</v>
      </c>
      <c r="E46" s="15">
        <f>'Full Historical Statements'!E73</f>
        <v>3179</v>
      </c>
      <c r="F46" s="15">
        <f>'Full Historical Statements'!F73</f>
        <v>3476</v>
      </c>
      <c r="G46" s="15">
        <f>'Full Historical Statements'!G73</f>
        <v>1358</v>
      </c>
      <c r="H46" s="15">
        <f>'Full Historical Statements'!H73</f>
        <v>965</v>
      </c>
      <c r="I46" s="15">
        <f>'Full Historical Statements'!I73</f>
        <v>-727</v>
      </c>
      <c r="J46" s="16">
        <f>'Full Historical Statements'!J73</f>
        <v>2001.4033550000031</v>
      </c>
      <c r="K46" s="16">
        <f>'Full Historical Statements'!K73</f>
        <v>5350.0216234000027</v>
      </c>
      <c r="L46" s="16">
        <f>'Full Historical Statements'!L73</f>
        <v>9889.7379357400023</v>
      </c>
      <c r="M46" s="16">
        <f>'Full Historical Statements'!M73</f>
        <v>15852.978724280722</v>
      </c>
      <c r="N46" s="16">
        <f>'Full Historical Statements'!N73</f>
        <v>22356.865893790113</v>
      </c>
    </row>
    <row r="47" spans="2:14" ht="15">
      <c r="B47" s="8" t="s">
        <v>50</v>
      </c>
      <c r="C47" s="8"/>
      <c r="D47" s="8"/>
      <c r="E47" s="10">
        <f>SUM(E43:E46)</f>
        <v>12767</v>
      </c>
      <c r="F47" s="10">
        <f>SUM(F43:F46)</f>
        <v>15281</v>
      </c>
      <c r="G47" s="10">
        <f>SUM(G43:G46)</f>
        <v>14004</v>
      </c>
      <c r="H47" s="10">
        <f>SUM(H43:H46)</f>
        <v>14430</v>
      </c>
      <c r="I47" s="10">
        <f>SUM(I43:I46)</f>
        <v>13213</v>
      </c>
      <c r="J47" s="10">
        <f t="shared" ref="J47:N47" si="3">SUM(J43:J46)</f>
        <v>16793.103355000003</v>
      </c>
      <c r="K47" s="10">
        <f t="shared" si="3"/>
        <v>21194.990623400005</v>
      </c>
      <c r="L47" s="10">
        <f t="shared" si="3"/>
        <v>26861.704765740003</v>
      </c>
      <c r="M47" s="10">
        <f t="shared" si="3"/>
        <v>34427.053469470724</v>
      </c>
      <c r="N47" s="10">
        <f t="shared" si="3"/>
        <v>42682.044590282785</v>
      </c>
    </row>
    <row r="48" spans="2:14" ht="15">
      <c r="B48" s="8" t="s">
        <v>51</v>
      </c>
      <c r="C48" s="8"/>
      <c r="D48" s="8"/>
      <c r="E48" s="10">
        <f>E39+E47</f>
        <v>37740</v>
      </c>
      <c r="F48" s="10">
        <f>F39+F47</f>
        <v>40321</v>
      </c>
      <c r="G48" s="10">
        <f>G39+G47</f>
        <v>37531</v>
      </c>
      <c r="H48" s="10">
        <f>H39+H47</f>
        <v>38110</v>
      </c>
      <c r="I48" s="10">
        <f>I39+I47</f>
        <v>36579</v>
      </c>
      <c r="J48" s="10">
        <f t="shared" ref="J48:N48" si="4">J39+J47</f>
        <v>39636.680947694069</v>
      </c>
      <c r="K48" s="10">
        <f t="shared" si="4"/>
        <v>44177.87070805145</v>
      </c>
      <c r="L48" s="10">
        <f t="shared" si="4"/>
        <v>48965.010623210605</v>
      </c>
      <c r="M48" s="10">
        <f t="shared" si="4"/>
        <v>56179.683175944461</v>
      </c>
      <c r="N48" s="10">
        <f t="shared" si="4"/>
        <v>66256.383521779484</v>
      </c>
    </row>
    <row r="49" spans="2:14" ht="15">
      <c r="B49" s="6" t="s">
        <v>52</v>
      </c>
      <c r="C49" s="6"/>
      <c r="D49" s="6"/>
      <c r="E49" s="7">
        <f>E30-E48</f>
        <v>0</v>
      </c>
      <c r="F49" s="7">
        <f>F30-F48</f>
        <v>0</v>
      </c>
      <c r="G49" s="7">
        <f>G30-G48</f>
        <v>0</v>
      </c>
      <c r="H49" s="7">
        <f>H30-H48</f>
        <v>0</v>
      </c>
      <c r="I49" s="7">
        <f>I30-I48</f>
        <v>0</v>
      </c>
      <c r="J49" s="7"/>
      <c r="K49" s="7"/>
      <c r="L49" s="7"/>
      <c r="M49" s="7"/>
      <c r="N49" s="7"/>
    </row>
    <row r="52" spans="2:14" ht="15">
      <c r="B52" s="21" t="s">
        <v>53</v>
      </c>
      <c r="C52" s="21" t="s">
        <v>53</v>
      </c>
      <c r="D52" s="21" t="s">
        <v>53</v>
      </c>
      <c r="E52" s="21" t="s">
        <v>53</v>
      </c>
      <c r="F52" s="21" t="s">
        <v>53</v>
      </c>
      <c r="G52" s="21" t="s">
        <v>53</v>
      </c>
      <c r="H52" s="21" t="s">
        <v>53</v>
      </c>
      <c r="I52" s="21" t="s">
        <v>53</v>
      </c>
      <c r="J52" s="21" t="s">
        <v>53</v>
      </c>
      <c r="K52" s="21" t="s">
        <v>53</v>
      </c>
      <c r="L52" s="21" t="s">
        <v>53</v>
      </c>
      <c r="M52" s="21" t="s">
        <v>53</v>
      </c>
      <c r="N52" s="21" t="s">
        <v>53</v>
      </c>
    </row>
    <row r="53" spans="2:14">
      <c r="B53" t="s">
        <v>15</v>
      </c>
      <c r="E53" s="15">
        <f>'Full Historical Statements'!E80</f>
        <v>5727</v>
      </c>
      <c r="F53" s="15">
        <f>'Full Historical Statements'!F80</f>
        <v>6046</v>
      </c>
      <c r="G53" s="15">
        <f>'Full Historical Statements'!G80</f>
        <v>5070</v>
      </c>
      <c r="H53" s="15">
        <f>'Full Historical Statements'!H80</f>
        <v>5700</v>
      </c>
      <c r="I53" s="15">
        <f>'Full Historical Statements'!I80</f>
        <v>3219</v>
      </c>
      <c r="J53" s="5">
        <f>'Full Historical Statements'!J80</f>
        <v>2728.4033550000031</v>
      </c>
      <c r="K53" s="5">
        <f>'Full Historical Statements'!K80</f>
        <v>3348.6182683999996</v>
      </c>
      <c r="L53" s="5">
        <f>'Full Historical Statements'!L80</f>
        <v>4539.7163123399996</v>
      </c>
      <c r="M53" s="5">
        <f>'Full Historical Statements'!M80</f>
        <v>5963.2407885407192</v>
      </c>
      <c r="N53" s="5">
        <f>'Full Historical Statements'!N80</f>
        <v>6503.8871695093903</v>
      </c>
    </row>
    <row r="54" spans="2:14">
      <c r="B54" t="s">
        <v>54</v>
      </c>
      <c r="E54" s="15">
        <f>'Full Historical Statements'!E81</f>
        <v>744</v>
      </c>
      <c r="F54" s="15">
        <f>'Full Historical Statements'!F81</f>
        <v>717</v>
      </c>
      <c r="G54" s="15">
        <f>'Full Historical Statements'!G81</f>
        <v>703</v>
      </c>
      <c r="H54" s="15">
        <f>'Full Historical Statements'!H81</f>
        <v>796</v>
      </c>
      <c r="I54" s="15">
        <f>'Full Historical Statements'!I81</f>
        <v>775</v>
      </c>
      <c r="J54" s="16">
        <f>'Full Historical Statements'!J81</f>
        <v>550.30742936891841</v>
      </c>
      <c r="K54" s="16">
        <f>'Full Historical Statements'!K81</f>
        <v>701.82912672632051</v>
      </c>
      <c r="L54" s="16">
        <f>'Full Historical Statements'!L81</f>
        <v>824.70850318335033</v>
      </c>
      <c r="M54" s="16">
        <f>'Full Historical Statements'!M81</f>
        <v>942.40421972277932</v>
      </c>
      <c r="N54" s="16">
        <f>'Full Historical Statements'!N81</f>
        <v>1077.7132984459913</v>
      </c>
    </row>
    <row r="55" spans="2:14">
      <c r="B55" t="s">
        <v>97</v>
      </c>
      <c r="E55" s="15">
        <f>'Full Historical Statements'!E82+'Full Historical Statements'!E83+'Full Historical Statements'!E84+'Full Historical Statements'!E85</f>
        <v>141</v>
      </c>
      <c r="F55" s="15">
        <f>'Full Historical Statements'!F82+'Full Historical Statements'!F83+'Full Historical Statements'!F84+'Full Historical Statements'!F85</f>
        <v>85</v>
      </c>
      <c r="G55" s="15">
        <f>'Full Historical Statements'!G82+'Full Historical Statements'!G83+'Full Historical Statements'!G84+'Full Historical Statements'!G85</f>
        <v>581</v>
      </c>
      <c r="H55" s="15">
        <f>'Full Historical Statements'!H82+'Full Historical Statements'!H83+'Full Historical Statements'!H84+'Full Historical Statements'!H85</f>
        <v>217</v>
      </c>
      <c r="I55" s="15">
        <f>'Full Historical Statements'!I82+'Full Historical Statements'!I83+'Full Historical Statements'!I84+'Full Historical Statements'!I85</f>
        <v>491</v>
      </c>
      <c r="J55" s="16">
        <f>SUM('Full Historical Statements'!J82:J85)</f>
        <v>626.26983224999992</v>
      </c>
      <c r="K55" s="16">
        <f>SUM('Full Historical Statements'!K82:K85)</f>
        <v>698.62648658000001</v>
      </c>
      <c r="L55" s="16">
        <f>SUM('Full Historical Statements'!L82:L85)</f>
        <v>687.84077838300016</v>
      </c>
      <c r="M55" s="16">
        <f>SUM('Full Historical Statements'!M82:M85)</f>
        <v>668.35018771296427</v>
      </c>
      <c r="N55" s="16">
        <f>SUM('Full Historical Statements'!N82:N85)</f>
        <v>696.09444166793071</v>
      </c>
    </row>
    <row r="56" spans="2:14">
      <c r="B56" t="s">
        <v>98</v>
      </c>
      <c r="E56" s="15">
        <f>'Full Historical Statements'!E86+'Full Historical Statements'!E87+'Full Historical Statements'!E88+'Full Historical Statements'!E89</f>
        <v>45</v>
      </c>
      <c r="F56" s="15">
        <f>'Full Historical Statements'!F86+'Full Historical Statements'!F87+'Full Historical Statements'!F88+'Full Historical Statements'!F89</f>
        <v>-1660</v>
      </c>
      <c r="G56" s="15">
        <f>'Full Historical Statements'!G86+'Full Historical Statements'!G87+'Full Historical Statements'!G88+'Full Historical Statements'!G89</f>
        <v>-513</v>
      </c>
      <c r="H56" s="15">
        <f>'Full Historical Statements'!H86+'Full Historical Statements'!H87+'Full Historical Statements'!H88+'Full Historical Statements'!H89</f>
        <v>716</v>
      </c>
      <c r="I56" s="15">
        <f>'Full Historical Statements'!I86+'Full Historical Statements'!I87+'Full Historical Statements'!I88+'Full Historical Statements'!I89</f>
        <v>-787</v>
      </c>
      <c r="J56" s="16">
        <f>SUM('Full Historical Statements'!J86:J89)</f>
        <v>-1750.3348757990864</v>
      </c>
      <c r="K56" s="16">
        <f>SUM('Full Historical Statements'!K86:K89)</f>
        <v>453.87159187701855</v>
      </c>
      <c r="L56" s="16">
        <f>SUM('Full Historical Statements'!L86:L89)</f>
        <v>548.85170119346458</v>
      </c>
      <c r="M56" s="16">
        <f>SUM('Full Historical Statements'!M86:M89)</f>
        <v>912.9042072081736</v>
      </c>
      <c r="N56" s="16">
        <f>SUM('Full Historical Statements'!N86:N89)</f>
        <v>1434.5745666558362</v>
      </c>
    </row>
    <row r="57" spans="2:14" ht="15">
      <c r="B57" s="8" t="s">
        <v>99</v>
      </c>
      <c r="C57" s="8"/>
      <c r="D57" s="8"/>
      <c r="E57" s="17">
        <f>'Full Historical Statements'!E90</f>
        <v>6657</v>
      </c>
      <c r="F57" s="17">
        <f>'Full Historical Statements'!F90</f>
        <v>5188</v>
      </c>
      <c r="G57" s="17">
        <f>'Full Historical Statements'!G90</f>
        <v>5841</v>
      </c>
      <c r="H57" s="17">
        <f>'Full Historical Statements'!H90</f>
        <v>7429</v>
      </c>
      <c r="I57" s="17">
        <f>'Full Historical Statements'!I90</f>
        <v>3698</v>
      </c>
      <c r="J57" s="10">
        <f>'Full Historical Statements'!J90</f>
        <v>2154.6457408198348</v>
      </c>
      <c r="K57" s="10">
        <f>'Full Historical Statements'!K90</f>
        <v>5202.9454735833388</v>
      </c>
      <c r="L57" s="10">
        <f>'Full Historical Statements'!L90</f>
        <v>6601.1172950998143</v>
      </c>
      <c r="M57" s="10">
        <f>'Full Historical Statements'!M90</f>
        <v>8486.899403184636</v>
      </c>
      <c r="N57" s="10">
        <f>'Full Historical Statements'!N90</f>
        <v>9712.2694762791471</v>
      </c>
    </row>
    <row r="58" spans="2:14">
      <c r="B58" t="s">
        <v>100</v>
      </c>
      <c r="E58" s="15">
        <f>'Full Historical Statements'!E94</f>
        <v>-695</v>
      </c>
      <c r="F58" s="15">
        <f>'Full Historical Statements'!F94</f>
        <v>-758</v>
      </c>
      <c r="G58" s="15">
        <f>'Full Historical Statements'!G94</f>
        <v>-969</v>
      </c>
      <c r="H58" s="15">
        <f>'Full Historical Statements'!H94</f>
        <v>-812</v>
      </c>
      <c r="I58" s="15">
        <f>'Full Historical Statements'!I94</f>
        <v>-430</v>
      </c>
      <c r="J58" s="16">
        <f>'Full Historical Statements'!J94</f>
        <v>-1403.1627000000001</v>
      </c>
      <c r="K58" s="16">
        <f>'Full Historical Statements'!K94</f>
        <v>-1501.3840890000001</v>
      </c>
      <c r="L58" s="16">
        <f>'Full Historical Statements'!L94</f>
        <v>-1621.4948161200002</v>
      </c>
      <c r="M58" s="16">
        <f>'Full Historical Statements'!M94</f>
        <v>-1767.4293495708002</v>
      </c>
      <c r="N58" s="16">
        <f>'Full Historical Statements'!N94</f>
        <v>-1926.4979910321724</v>
      </c>
    </row>
    <row r="59" spans="2:14">
      <c r="B59" t="s">
        <v>68</v>
      </c>
      <c r="E59" s="15">
        <f>'Full Historical Statements'!E91+'Full Historical Statements'!E92+'Full Historical Statements'!E93+'Full Historical Statements'!E95</f>
        <v>-3105</v>
      </c>
      <c r="F59" s="15">
        <f>'Full Historical Statements'!F91+'Full Historical Statements'!F92+'Full Historical Statements'!F93+'Full Historical Statements'!F95</f>
        <v>-766</v>
      </c>
      <c r="G59" s="15">
        <f>'Full Historical Statements'!G91+'Full Historical Statements'!G92+'Full Historical Statements'!G93+'Full Historical Statements'!G95</f>
        <v>1533</v>
      </c>
      <c r="H59" s="15">
        <f>'Full Historical Statements'!H91+'Full Historical Statements'!H92+'Full Historical Statements'!H93+'Full Historical Statements'!H95</f>
        <v>1706</v>
      </c>
      <c r="I59" s="15">
        <f>'Full Historical Statements'!I91+'Full Historical Statements'!I92+'Full Historical Statements'!I93+'Full Historical Statements'!I95</f>
        <v>155</v>
      </c>
      <c r="J59" s="16">
        <f>SUM('Full Historical Statements'!J91:J93,'Full Historical Statements'!J95)</f>
        <v>4308</v>
      </c>
      <c r="K59" s="16">
        <f>SUM('Full Historical Statements'!K91:K93,'Full Historical Statements'!K95)</f>
        <v>4008</v>
      </c>
      <c r="L59" s="16">
        <f>SUM('Full Historical Statements'!L91:L93,'Full Historical Statements'!L95)</f>
        <v>1008</v>
      </c>
      <c r="M59" s="16">
        <f>SUM('Full Historical Statements'!M91:M93,'Full Historical Statements'!M95)</f>
        <v>1008</v>
      </c>
      <c r="N59" s="16">
        <f>SUM('Full Historical Statements'!N91:N93,'Full Historical Statements'!N95)</f>
        <v>1008</v>
      </c>
    </row>
    <row r="60" spans="2:14" ht="15">
      <c r="B60" s="8" t="s">
        <v>101</v>
      </c>
      <c r="C60" s="8"/>
      <c r="D60" s="8"/>
      <c r="E60" s="17">
        <f>'Full Historical Statements'!E96</f>
        <v>-3800</v>
      </c>
      <c r="F60" s="17">
        <f>'Full Historical Statements'!F96</f>
        <v>-1524</v>
      </c>
      <c r="G60" s="17">
        <f>'Full Historical Statements'!G96</f>
        <v>564</v>
      </c>
      <c r="H60" s="17">
        <f>'Full Historical Statements'!H96</f>
        <v>894</v>
      </c>
      <c r="I60" s="17">
        <f>'Full Historical Statements'!I96</f>
        <v>-275</v>
      </c>
      <c r="J60" s="10">
        <f>'Full Historical Statements'!J96</f>
        <v>2904.8373000000001</v>
      </c>
      <c r="K60" s="10">
        <f>'Full Historical Statements'!K96</f>
        <v>2506.6159109999999</v>
      </c>
      <c r="L60" s="10">
        <f>'Full Historical Statements'!L96</f>
        <v>-613.49481612000022</v>
      </c>
      <c r="M60" s="10">
        <f>'Full Historical Statements'!M96</f>
        <v>-759.42934957080024</v>
      </c>
      <c r="N60" s="10">
        <f>'Full Historical Statements'!N96</f>
        <v>-918.49799103217242</v>
      </c>
    </row>
    <row r="61" spans="2:14">
      <c r="B61" t="s">
        <v>102</v>
      </c>
      <c r="E61" s="15">
        <f>'Full Historical Statements'!E97+'Full Historical Statements'!E98</f>
        <v>-249</v>
      </c>
      <c r="F61" s="15">
        <f>'Full Historical Statements'!F97+'Full Historical Statements'!F98</f>
        <v>15</v>
      </c>
      <c r="G61" s="15">
        <f>'Full Historical Statements'!G97+'Full Historical Statements'!G98</f>
        <v>-504</v>
      </c>
      <c r="H61" s="15">
        <f>'Full Historical Statements'!H97+'Full Historical Statements'!H98</f>
        <v>0</v>
      </c>
      <c r="I61" s="15">
        <f>'Full Historical Statements'!I97+'Full Historical Statements'!I98</f>
        <v>-1001</v>
      </c>
      <c r="J61" s="16">
        <f>'Full Historical Statements'!J97+'Full Historical Statements'!J98</f>
        <v>-1700</v>
      </c>
      <c r="K61" s="16">
        <f>'Full Historical Statements'!K97+'Full Historical Statements'!K98</f>
        <v>-1000</v>
      </c>
      <c r="L61" s="16">
        <f>'Full Historical Statements'!L97+'Full Historical Statements'!L98</f>
        <v>0</v>
      </c>
      <c r="M61" s="16">
        <f>'Full Historical Statements'!M97+'Full Historical Statements'!M98</f>
        <v>-500</v>
      </c>
      <c r="N61" s="16">
        <f>'Full Historical Statements'!N97+'Full Historical Statements'!N98</f>
        <v>-1489</v>
      </c>
    </row>
    <row r="62" spans="2:14">
      <c r="B62" t="s">
        <v>103</v>
      </c>
      <c r="E62" s="15">
        <f>'Full Historical Statements'!E99+'Full Historical Statements'!E100+'Full Historical Statements'!E101+'Full Historical Statements'!E102</f>
        <v>-1210</v>
      </c>
      <c r="F62" s="15">
        <f>'Full Historical Statements'!F99+'Full Historical Statements'!F100+'Full Historical Statements'!F101+'Full Historical Statements'!F102</f>
        <v>-4851</v>
      </c>
      <c r="G62" s="15">
        <f>'Full Historical Statements'!G99+'Full Historical Statements'!G100+'Full Historical Statements'!G101+'Full Historical Statements'!G102</f>
        <v>-6943</v>
      </c>
      <c r="H62" s="15">
        <f>'Full Historical Statements'!H99+'Full Historical Statements'!H100+'Full Historical Statements'!H101+'Full Historical Statements'!H102</f>
        <v>-5888</v>
      </c>
      <c r="I62" s="15">
        <f>'Full Historical Statements'!I99+'Full Historical Statements'!I100+'Full Historical Statements'!I101+'Full Historical Statements'!I102</f>
        <v>-4819</v>
      </c>
      <c r="J62" s="16">
        <f>SUM('Full Historical Statements'!J99:J102)</f>
        <v>-3444.45</v>
      </c>
      <c r="K62" s="16">
        <f>SUM('Full Historical Statements'!K99:K102)</f>
        <v>-5061.8024999999998</v>
      </c>
      <c r="L62" s="16">
        <f>SUM('Full Historical Statements'!L99:L102)</f>
        <v>-5186.4854250000008</v>
      </c>
      <c r="M62" s="16">
        <f>SUM('Full Historical Statements'!M99:M102)</f>
        <v>-5318.9530642500004</v>
      </c>
      <c r="N62" s="16">
        <f>SUM('Full Historical Statements'!N99:N102)</f>
        <v>-5459.6876875425005</v>
      </c>
    </row>
    <row r="63" spans="2:14" ht="15">
      <c r="B63" s="8" t="s">
        <v>104</v>
      </c>
      <c r="C63" s="8"/>
      <c r="D63" s="8"/>
      <c r="E63" s="17">
        <f>'Full Historical Statements'!E103</f>
        <v>-1459</v>
      </c>
      <c r="F63" s="17">
        <f>'Full Historical Statements'!F103</f>
        <v>-4836</v>
      </c>
      <c r="G63" s="17">
        <f>'Full Historical Statements'!G103</f>
        <v>-7447</v>
      </c>
      <c r="H63" s="17">
        <f>'Full Historical Statements'!H103</f>
        <v>-5888</v>
      </c>
      <c r="I63" s="17">
        <f>'Full Historical Statements'!I103</f>
        <v>-5820</v>
      </c>
      <c r="J63" s="10">
        <f>'Full Historical Statements'!J103</f>
        <v>-5144.45</v>
      </c>
      <c r="K63" s="10">
        <f>'Full Historical Statements'!K103</f>
        <v>-6061.8024999999998</v>
      </c>
      <c r="L63" s="10">
        <f>'Full Historical Statements'!L103</f>
        <v>-5186.4854250000008</v>
      </c>
      <c r="M63" s="10">
        <f>'Full Historical Statements'!M103</f>
        <v>-5818.9530642500004</v>
      </c>
      <c r="N63" s="10">
        <f>'Full Historical Statements'!N103</f>
        <v>-6948.6876875425005</v>
      </c>
    </row>
    <row r="64" spans="2:14">
      <c r="B64" t="s">
        <v>105</v>
      </c>
      <c r="E64" s="15">
        <f>'Full Historical Statements'!E104</f>
        <v>143</v>
      </c>
      <c r="F64" s="15">
        <f>'Full Historical Statements'!F104</f>
        <v>-143</v>
      </c>
      <c r="G64" s="15">
        <f>'Full Historical Statements'!G104</f>
        <v>-91</v>
      </c>
      <c r="H64" s="15">
        <f>'Full Historical Statements'!H104</f>
        <v>-16</v>
      </c>
      <c r="I64" s="15">
        <f>'Full Historical Statements'!I104</f>
        <v>1</v>
      </c>
      <c r="J64" s="16">
        <f>'Full Historical Statements'!J104</f>
        <v>1</v>
      </c>
      <c r="K64" s="16">
        <f>'Full Historical Statements'!K104</f>
        <v>1</v>
      </c>
      <c r="L64" s="16">
        <f>'Full Historical Statements'!L104</f>
        <v>1</v>
      </c>
      <c r="M64" s="16">
        <f>'Full Historical Statements'!M104</f>
        <v>1</v>
      </c>
      <c r="N64" s="16">
        <f>'Full Historical Statements'!N104</f>
        <v>1</v>
      </c>
    </row>
    <row r="65" spans="2:14" ht="15">
      <c r="B65" s="8" t="s">
        <v>106</v>
      </c>
      <c r="C65" s="8"/>
      <c r="D65" s="8"/>
      <c r="E65" s="17">
        <f>'Full Historical Statements'!E105</f>
        <v>1541</v>
      </c>
      <c r="F65" s="17">
        <f>'Full Historical Statements'!F105</f>
        <v>-1315</v>
      </c>
      <c r="G65" s="17">
        <f>'Full Historical Statements'!G105</f>
        <v>-1133</v>
      </c>
      <c r="H65" s="17">
        <f>'Full Historical Statements'!H105</f>
        <v>2419</v>
      </c>
      <c r="I65" s="17">
        <f>'Full Historical Statements'!I105</f>
        <v>-2396</v>
      </c>
      <c r="J65" s="10">
        <f>'Full Historical Statements'!J105</f>
        <v>-83.966959180164849</v>
      </c>
      <c r="K65" s="10">
        <f>'Full Historical Statements'!K105</f>
        <v>1648.7588845833388</v>
      </c>
      <c r="L65" s="10">
        <f>'Full Historical Statements'!L105</f>
        <v>802.13705397981357</v>
      </c>
      <c r="M65" s="10">
        <f>'Full Historical Statements'!M105</f>
        <v>1909.5169893638349</v>
      </c>
      <c r="N65" s="10">
        <f>'Full Historical Statements'!N105</f>
        <v>1846.0837977044739</v>
      </c>
    </row>
    <row r="66" spans="2:14">
      <c r="B66" t="s">
        <v>107</v>
      </c>
      <c r="E66" s="15">
        <f>'Full Historical Statements'!E106</f>
        <v>8348</v>
      </c>
      <c r="F66" s="15">
        <f>'Full Historical Statements'!F106</f>
        <v>9889</v>
      </c>
      <c r="G66" s="15">
        <f>'Full Historical Statements'!G106</f>
        <v>8574</v>
      </c>
      <c r="H66" s="15">
        <f>'Full Historical Statements'!H106</f>
        <v>7441</v>
      </c>
      <c r="I66" s="15">
        <f>'Full Historical Statements'!I106</f>
        <v>9860</v>
      </c>
      <c r="J66" s="5">
        <f>'Full Historical Statements'!J106</f>
        <v>7464</v>
      </c>
      <c r="K66" s="5">
        <f>'Full Historical Statements'!K106</f>
        <v>7380.0330408198352</v>
      </c>
      <c r="L66" s="5">
        <f>'Full Historical Statements'!L106</f>
        <v>9028.7919254031731</v>
      </c>
      <c r="M66" s="5">
        <f>'Full Historical Statements'!M106</f>
        <v>9830.9289793829867</v>
      </c>
      <c r="N66" s="5">
        <f>'Full Historical Statements'!N106</f>
        <v>11740.445968746822</v>
      </c>
    </row>
    <row r="67" spans="2:14" ht="15">
      <c r="B67" s="8" t="s">
        <v>108</v>
      </c>
      <c r="C67" s="8"/>
      <c r="D67" s="8"/>
      <c r="E67" s="17">
        <f>'Full Historical Statements'!E107</f>
        <v>9889</v>
      </c>
      <c r="F67" s="17">
        <f>'Full Historical Statements'!F107</f>
        <v>8574</v>
      </c>
      <c r="G67" s="17">
        <f>'Full Historical Statements'!G107</f>
        <v>7441</v>
      </c>
      <c r="H67" s="17">
        <f>'Full Historical Statements'!H107</f>
        <v>9860</v>
      </c>
      <c r="I67" s="17">
        <f>'Full Historical Statements'!I107</f>
        <v>7464</v>
      </c>
      <c r="J67" s="10">
        <f>'Full Historical Statements'!J107</f>
        <v>7380.0330408198352</v>
      </c>
      <c r="K67" s="10">
        <f>'Full Historical Statements'!K107</f>
        <v>9028.7919254031731</v>
      </c>
      <c r="L67" s="10">
        <f>'Full Historical Statements'!L107</f>
        <v>9830.9289793829867</v>
      </c>
      <c r="M67" s="10">
        <f>'Full Historical Statements'!M107</f>
        <v>11740.445968746822</v>
      </c>
      <c r="N67" s="10">
        <f>'Full Historical Statements'!N107</f>
        <v>13586.529766451296</v>
      </c>
    </row>
    <row r="68" spans="2:14" ht="15">
      <c r="B68" s="6" t="s">
        <v>81</v>
      </c>
      <c r="C68" s="6"/>
      <c r="D68" s="6"/>
      <c r="E68" s="7">
        <f>E67-E20</f>
        <v>0</v>
      </c>
      <c r="F68" s="7">
        <f>F67-F20</f>
        <v>0</v>
      </c>
      <c r="G68" s="7">
        <f>G67-G20</f>
        <v>0</v>
      </c>
      <c r="H68" s="7">
        <f>H67-H20</f>
        <v>0</v>
      </c>
      <c r="I68" s="7">
        <f>I67-I20</f>
        <v>0</v>
      </c>
      <c r="J68" s="7"/>
      <c r="K68" s="7"/>
      <c r="L68" s="7"/>
      <c r="M68" s="7"/>
      <c r="N68" s="7"/>
    </row>
  </sheetData>
  <mergeCells count="6">
    <mergeCell ref="B52:N52"/>
    <mergeCell ref="B1:N1"/>
    <mergeCell ref="B6:N6"/>
    <mergeCell ref="B19:N19"/>
    <mergeCell ref="B33:N33"/>
    <mergeCell ref="B42:N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F52A-F979-8145-B3DA-8260CF9B59B5}">
  <dimension ref="A1:N88"/>
  <sheetViews>
    <sheetView showGridLines="0" tabSelected="1" workbookViewId="0">
      <selection sqref="A1:XFD1048576"/>
    </sheetView>
  </sheetViews>
  <sheetFormatPr baseColWidth="10" defaultRowHeight="14"/>
  <cols>
    <col min="1" max="1" width="10.83203125" style="48"/>
    <col min="2" max="2" width="14.5" style="48" bestFit="1" customWidth="1"/>
    <col min="3" max="3" width="9.5" style="48" customWidth="1"/>
    <col min="4" max="4" width="10.5" style="48" bestFit="1" customWidth="1"/>
    <col min="5" max="5" width="7" style="48" customWidth="1"/>
    <col min="6" max="8" width="10.83203125" style="48"/>
    <col min="9" max="9" width="11.5" style="48" bestFit="1" customWidth="1"/>
    <col min="10" max="13" width="10.83203125" style="48"/>
    <col min="14" max="14" width="11.5" style="48" bestFit="1" customWidth="1"/>
    <col min="15" max="16384" width="10.83203125" style="48"/>
  </cols>
  <sheetData>
    <row r="1" spans="1:14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4" ht="27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</row>
    <row r="3" spans="1:14" ht="114" customHeight="1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</row>
    <row r="4" spans="1:14" ht="44" customHeight="1"/>
    <row r="5" spans="1:14" ht="15" thickBot="1">
      <c r="E5" s="67"/>
      <c r="F5" s="69" t="s">
        <v>164</v>
      </c>
      <c r="G5" s="69" t="s">
        <v>164</v>
      </c>
      <c r="H5" s="69" t="s">
        <v>165</v>
      </c>
      <c r="I5" s="49" t="s">
        <v>166</v>
      </c>
      <c r="J5" s="49" t="s">
        <v>167</v>
      </c>
      <c r="K5" s="49" t="s">
        <v>168</v>
      </c>
      <c r="L5" s="49" t="s">
        <v>169</v>
      </c>
      <c r="M5" s="49" t="s">
        <v>170</v>
      </c>
      <c r="N5" s="50" t="s">
        <v>171</v>
      </c>
    </row>
    <row r="6" spans="1:14">
      <c r="N6" s="51"/>
    </row>
    <row r="7" spans="1:14">
      <c r="B7" s="48" t="s">
        <v>155</v>
      </c>
      <c r="F7" s="52"/>
      <c r="G7" s="53">
        <f>G13/F13-1</f>
        <v>2.8310912392370824E-3</v>
      </c>
      <c r="H7" s="53">
        <f t="shared" ref="H7:M7" si="0">H13/G13-1</f>
        <v>-9.8380125384525563E-2</v>
      </c>
      <c r="I7" s="53">
        <f t="shared" si="0"/>
        <v>1.0000000000000009E-2</v>
      </c>
      <c r="J7" s="53">
        <f t="shared" si="0"/>
        <v>7.0000000000000062E-2</v>
      </c>
      <c r="K7" s="53">
        <f t="shared" si="0"/>
        <v>8.0000000000000071E-2</v>
      </c>
      <c r="L7" s="53">
        <f t="shared" si="0"/>
        <v>9.000000000000008E-2</v>
      </c>
      <c r="M7" s="53">
        <f t="shared" si="0"/>
        <v>9.000000000000008E-2</v>
      </c>
      <c r="N7" s="54">
        <v>0.1</v>
      </c>
    </row>
    <row r="8" spans="1:14">
      <c r="B8" s="48" t="s">
        <v>156</v>
      </c>
      <c r="C8" s="48" t="s">
        <v>172</v>
      </c>
      <c r="F8" s="53">
        <f>-F14/F13</f>
        <v>0.56475389030985801</v>
      </c>
      <c r="G8" s="53">
        <f t="shared" ref="G8:M8" si="1">-G14/G13</f>
        <v>0.55439819321677508</v>
      </c>
      <c r="H8" s="53">
        <f t="shared" si="1"/>
        <v>0.57265326394437366</v>
      </c>
      <c r="I8" s="53">
        <f t="shared" si="1"/>
        <v>0.57999999999999996</v>
      </c>
      <c r="J8" s="53">
        <f t="shared" si="1"/>
        <v>0.56000000000000005</v>
      </c>
      <c r="K8" s="53">
        <f t="shared" si="1"/>
        <v>0.54</v>
      </c>
      <c r="L8" s="53">
        <f t="shared" si="1"/>
        <v>0.52</v>
      </c>
      <c r="M8" s="53">
        <f t="shared" si="1"/>
        <v>0.52</v>
      </c>
      <c r="N8" s="54">
        <v>0.01</v>
      </c>
    </row>
    <row r="9" spans="1:14">
      <c r="B9" s="48" t="s">
        <v>157</v>
      </c>
      <c r="C9" s="48" t="s">
        <v>172</v>
      </c>
      <c r="F9" s="53">
        <f>F17/F13</f>
        <v>0.31975711189644063</v>
      </c>
      <c r="G9" s="53">
        <f t="shared" ref="G9:M9" si="2">G17/G13</f>
        <v>0.32272886569837622</v>
      </c>
      <c r="H9" s="53">
        <f t="shared" si="2"/>
        <v>0.34740547193850008</v>
      </c>
      <c r="I9" s="53">
        <f t="shared" si="2"/>
        <v>0.35</v>
      </c>
      <c r="J9" s="53">
        <f t="shared" si="2"/>
        <v>0.36</v>
      </c>
      <c r="K9" s="53">
        <f t="shared" si="2"/>
        <v>0.36</v>
      </c>
      <c r="L9" s="53">
        <f t="shared" si="2"/>
        <v>0.36</v>
      </c>
      <c r="M9" s="53">
        <f t="shared" si="2"/>
        <v>0.36</v>
      </c>
      <c r="N9" s="54">
        <v>0.35</v>
      </c>
    </row>
    <row r="10" spans="1:14">
      <c r="F10" s="52"/>
      <c r="G10" s="52"/>
      <c r="H10" s="52"/>
      <c r="I10" s="52"/>
      <c r="J10" s="52"/>
      <c r="K10" s="52"/>
      <c r="L10" s="52"/>
      <c r="M10" s="52"/>
      <c r="N10" s="55"/>
    </row>
    <row r="11" spans="1:14">
      <c r="B11" s="48" t="s">
        <v>173</v>
      </c>
      <c r="F11" s="52"/>
      <c r="G11" s="53">
        <f>G20/F20-1</f>
        <v>0.13229018492176392</v>
      </c>
      <c r="H11" s="53">
        <f t="shared" ref="H11:M11" si="3">H20/G20-1</f>
        <v>-2.6381909547738669E-2</v>
      </c>
      <c r="I11" s="53">
        <f t="shared" si="3"/>
        <v>-0.28992589758849241</v>
      </c>
      <c r="J11" s="53">
        <f t="shared" si="3"/>
        <v>0.27534009041303364</v>
      </c>
      <c r="K11" s="53">
        <f t="shared" si="3"/>
        <v>0.17508446397800603</v>
      </c>
      <c r="L11" s="53">
        <f t="shared" si="3"/>
        <v>0.14271189891352765</v>
      </c>
      <c r="M11" s="53">
        <f t="shared" si="3"/>
        <v>0.14357860023484936</v>
      </c>
      <c r="N11" s="54">
        <v>0.14000000000000001</v>
      </c>
    </row>
    <row r="12" spans="1:14">
      <c r="F12" s="52"/>
      <c r="G12" s="52"/>
      <c r="H12" s="52"/>
      <c r="I12" s="52"/>
      <c r="J12" s="52"/>
      <c r="K12" s="52"/>
      <c r="L12" s="52"/>
      <c r="M12" s="52"/>
      <c r="N12" s="55"/>
    </row>
    <row r="13" spans="1:14">
      <c r="B13" s="48" t="s">
        <v>90</v>
      </c>
      <c r="F13" s="52">
        <f>'Simplified Model'!G7</f>
        <v>51217</v>
      </c>
      <c r="G13" s="52">
        <f>'Simplified Model'!H7</f>
        <v>51362</v>
      </c>
      <c r="H13" s="52">
        <f>'Simplified Model'!I7</f>
        <v>46309</v>
      </c>
      <c r="I13" s="52">
        <f>'Simplified Model'!J7</f>
        <v>46772.090000000004</v>
      </c>
      <c r="J13" s="52">
        <f>'Simplified Model'!K7</f>
        <v>50046.136300000006</v>
      </c>
      <c r="K13" s="52">
        <f>'Simplified Model'!L7</f>
        <v>54049.827204000008</v>
      </c>
      <c r="L13" s="52">
        <f>'Simplified Model'!M7</f>
        <v>58914.311652360011</v>
      </c>
      <c r="M13" s="52">
        <f>'Simplified Model'!N7</f>
        <v>64216.599701072417</v>
      </c>
      <c r="N13" s="55">
        <f>M13*(1+N7)</f>
        <v>70638.259671179665</v>
      </c>
    </row>
    <row r="14" spans="1:14">
      <c r="B14" s="48" t="s">
        <v>156</v>
      </c>
      <c r="F14" s="52">
        <f>-'Simplified Model'!G8</f>
        <v>-28925</v>
      </c>
      <c r="G14" s="52">
        <f>-'Simplified Model'!H8</f>
        <v>-28475</v>
      </c>
      <c r="H14" s="52">
        <f>-'Simplified Model'!I8</f>
        <v>-26519</v>
      </c>
      <c r="I14" s="52">
        <f>-'Simplified Model'!J8</f>
        <v>-27127.8122</v>
      </c>
      <c r="J14" s="52">
        <f>-'Simplified Model'!K8</f>
        <v>-28025.836328000005</v>
      </c>
      <c r="K14" s="52">
        <f>-'Simplified Model'!L8</f>
        <v>-29186.906690160005</v>
      </c>
      <c r="L14" s="52">
        <f>-'Simplified Model'!M8</f>
        <v>-30635.442059227207</v>
      </c>
      <c r="M14" s="52">
        <f>-'Simplified Model'!N8</f>
        <v>-33392.631844557654</v>
      </c>
      <c r="N14" s="55">
        <f>M14*(1+N8)</f>
        <v>-33726.558163003232</v>
      </c>
    </row>
    <row r="15" spans="1:14">
      <c r="B15" s="48" t="s">
        <v>159</v>
      </c>
      <c r="F15" s="56">
        <f>F13+F14</f>
        <v>22292</v>
      </c>
      <c r="G15" s="56">
        <f t="shared" ref="G15:N15" si="4">G13+G14</f>
        <v>22887</v>
      </c>
      <c r="H15" s="56">
        <f t="shared" si="4"/>
        <v>19790</v>
      </c>
      <c r="I15" s="56">
        <f t="shared" si="4"/>
        <v>19644.277800000003</v>
      </c>
      <c r="J15" s="56">
        <f t="shared" si="4"/>
        <v>22020.299972000001</v>
      </c>
      <c r="K15" s="56">
        <f t="shared" si="4"/>
        <v>24862.920513840003</v>
      </c>
      <c r="L15" s="56">
        <f t="shared" si="4"/>
        <v>28278.869593132804</v>
      </c>
      <c r="M15" s="56">
        <f t="shared" si="4"/>
        <v>30823.967856514762</v>
      </c>
      <c r="N15" s="57">
        <f t="shared" si="4"/>
        <v>36911.701508176433</v>
      </c>
    </row>
    <row r="16" spans="1:14">
      <c r="F16" s="52"/>
      <c r="G16" s="52"/>
      <c r="H16" s="52"/>
      <c r="I16" s="52"/>
      <c r="J16" s="52"/>
      <c r="K16" s="52"/>
      <c r="L16" s="52"/>
      <c r="M16" s="52"/>
      <c r="N16" s="55"/>
    </row>
    <row r="17" spans="2:14">
      <c r="B17" s="48" t="s">
        <v>160</v>
      </c>
      <c r="F17" s="52">
        <f>'Simplified Model'!G10</f>
        <v>16377</v>
      </c>
      <c r="G17" s="52">
        <f>'Simplified Model'!H10</f>
        <v>16576</v>
      </c>
      <c r="H17" s="52">
        <f>'Simplified Model'!I10</f>
        <v>16088</v>
      </c>
      <c r="I17" s="52">
        <f>'Simplified Model'!J10</f>
        <v>16370.2315</v>
      </c>
      <c r="J17" s="52">
        <f>'Simplified Model'!K10</f>
        <v>18016.609068000002</v>
      </c>
      <c r="K17" s="52">
        <f>'Simplified Model'!L10</f>
        <v>19457.937793440004</v>
      </c>
      <c r="L17" s="52">
        <f>'Simplified Model'!M10</f>
        <v>21209.152194849605</v>
      </c>
      <c r="M17" s="52">
        <f>'Simplified Model'!N10</f>
        <v>23117.975892386068</v>
      </c>
      <c r="N17" s="55">
        <f>N13*N9</f>
        <v>24723.390884912882</v>
      </c>
    </row>
    <row r="18" spans="2:14">
      <c r="B18" s="48" t="s">
        <v>161</v>
      </c>
      <c r="F18" s="56">
        <f>F21-F20</f>
        <v>6618</v>
      </c>
      <c r="G18" s="56">
        <f t="shared" ref="G18:N18" si="5">G21-G20</f>
        <v>7107</v>
      </c>
      <c r="H18" s="56">
        <f t="shared" si="5"/>
        <v>4477</v>
      </c>
      <c r="I18" s="56">
        <f t="shared" si="5"/>
        <v>3824.3537293689219</v>
      </c>
      <c r="J18" s="56">
        <f t="shared" si="5"/>
        <v>4705.5200307263194</v>
      </c>
      <c r="K18" s="56">
        <f t="shared" si="5"/>
        <v>6229.6912235833497</v>
      </c>
      <c r="L18" s="56">
        <f t="shared" si="5"/>
        <v>8012.1216180059782</v>
      </c>
      <c r="M18" s="56">
        <f t="shared" si="5"/>
        <v>8783.7052625746855</v>
      </c>
      <c r="N18" s="56">
        <f t="shared" si="5"/>
        <v>13416.903783491982</v>
      </c>
    </row>
    <row r="19" spans="2:14">
      <c r="F19" s="52"/>
      <c r="G19" s="52"/>
      <c r="H19" s="52"/>
      <c r="I19" s="52"/>
      <c r="J19" s="52"/>
      <c r="K19" s="52"/>
      <c r="L19" s="52"/>
      <c r="M19" s="52"/>
      <c r="N19" s="55"/>
    </row>
    <row r="20" spans="2:14">
      <c r="B20" s="48" t="s">
        <v>158</v>
      </c>
      <c r="F20" s="52">
        <f>-'Simplified Model'!G54</f>
        <v>-703</v>
      </c>
      <c r="G20" s="52">
        <f>-'Simplified Model'!H54</f>
        <v>-796</v>
      </c>
      <c r="H20" s="52">
        <f>-'Simplified Model'!I54</f>
        <v>-775</v>
      </c>
      <c r="I20" s="52">
        <f>-'Simplified Model'!J54</f>
        <v>-550.30742936891841</v>
      </c>
      <c r="J20" s="52">
        <f>-'Simplified Model'!K54</f>
        <v>-701.82912672632051</v>
      </c>
      <c r="K20" s="52">
        <f>-'Simplified Model'!L54</f>
        <v>-824.70850318335033</v>
      </c>
      <c r="L20" s="52">
        <f>-'Simplified Model'!M54</f>
        <v>-942.40421972277932</v>
      </c>
      <c r="M20" s="52">
        <f>-'Simplified Model'!N54</f>
        <v>-1077.7132984459913</v>
      </c>
      <c r="N20" s="55">
        <f>M20*(1+N11)</f>
        <v>-1228.5931602284302</v>
      </c>
    </row>
    <row r="21" spans="2:14">
      <c r="B21" s="48" t="s">
        <v>162</v>
      </c>
      <c r="F21" s="56">
        <f>F15-F17</f>
        <v>5915</v>
      </c>
      <c r="G21" s="56">
        <f t="shared" ref="G21:N21" si="6">G15-G17</f>
        <v>6311</v>
      </c>
      <c r="H21" s="56">
        <f t="shared" si="6"/>
        <v>3702</v>
      </c>
      <c r="I21" s="56">
        <f t="shared" si="6"/>
        <v>3274.0463000000036</v>
      </c>
      <c r="J21" s="56">
        <f t="shared" si="6"/>
        <v>4003.6909039999991</v>
      </c>
      <c r="K21" s="56">
        <f t="shared" si="6"/>
        <v>5404.9827203999994</v>
      </c>
      <c r="L21" s="56">
        <f t="shared" si="6"/>
        <v>7069.7173982831991</v>
      </c>
      <c r="M21" s="56">
        <f t="shared" si="6"/>
        <v>7705.9919641286942</v>
      </c>
      <c r="N21" s="57">
        <f t="shared" si="6"/>
        <v>12188.310623263551</v>
      </c>
    </row>
    <row r="22" spans="2:14">
      <c r="F22" s="52"/>
      <c r="G22" s="52"/>
      <c r="H22" s="52"/>
      <c r="I22" s="52"/>
      <c r="J22" s="52"/>
      <c r="K22" s="52"/>
      <c r="L22" s="52"/>
      <c r="M22" s="52"/>
      <c r="N22" s="55"/>
    </row>
    <row r="23" spans="2:14">
      <c r="B23" s="48" t="s">
        <v>125</v>
      </c>
      <c r="F23" s="58">
        <f>'Full Historical Statements'!G11</f>
        <v>0.18238993710691823</v>
      </c>
      <c r="G23" s="58">
        <f>'Full Historical Statements'!H11</f>
        <v>0.14925373134328357</v>
      </c>
      <c r="H23" s="58">
        <f>'Full Historical Statements'!I11</f>
        <v>0.17142857142857143</v>
      </c>
      <c r="I23" s="58">
        <f>'Full Historical Statements'!J11</f>
        <v>0.15</v>
      </c>
      <c r="J23" s="58">
        <f>'Full Historical Statements'!K11</f>
        <v>0.15</v>
      </c>
      <c r="K23" s="58">
        <f>'Full Historical Statements'!L11</f>
        <v>0.15</v>
      </c>
      <c r="L23" s="58">
        <f>'Full Historical Statements'!M11</f>
        <v>0.15</v>
      </c>
      <c r="M23" s="58">
        <f>'Full Historical Statements'!N11</f>
        <v>0.15</v>
      </c>
      <c r="N23" s="59">
        <v>0.15</v>
      </c>
    </row>
    <row r="24" spans="2:14">
      <c r="B24" s="48" t="s">
        <v>163</v>
      </c>
      <c r="F24" s="56">
        <f>'Simplified Model'!G15</f>
        <v>1131</v>
      </c>
      <c r="G24" s="56">
        <f>'Simplified Model'!H15</f>
        <v>1000</v>
      </c>
      <c r="H24" s="56">
        <f>'Simplified Model'!I15</f>
        <v>666</v>
      </c>
      <c r="I24" s="56">
        <f>'Simplified Model'!J15</f>
        <v>481.48294500000054</v>
      </c>
      <c r="J24" s="56">
        <f>'Simplified Model'!K15</f>
        <v>590.93263559999991</v>
      </c>
      <c r="K24" s="56">
        <f>'Simplified Model'!L15</f>
        <v>801.12640805999979</v>
      </c>
      <c r="L24" s="56">
        <f>'Simplified Model'!M15</f>
        <v>1052.3366097424798</v>
      </c>
      <c r="M24" s="56">
        <f>'Simplified Model'!N15</f>
        <v>1147.7447946193042</v>
      </c>
      <c r="N24" s="60">
        <f>N21*N23</f>
        <v>1828.2465934895326</v>
      </c>
    </row>
    <row r="27" spans="2:14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</row>
    <row r="29" spans="2:14" ht="23">
      <c r="B29" s="71" t="s">
        <v>228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</row>
    <row r="32" spans="2:14" ht="15" thickBot="1">
      <c r="F32" s="69" t="s">
        <v>164</v>
      </c>
      <c r="G32" s="69" t="s">
        <v>164</v>
      </c>
      <c r="H32" s="69" t="s">
        <v>165</v>
      </c>
      <c r="I32" s="49" t="s">
        <v>166</v>
      </c>
      <c r="J32" s="49" t="s">
        <v>167</v>
      </c>
      <c r="K32" s="49" t="s">
        <v>168</v>
      </c>
      <c r="L32" s="49" t="s">
        <v>169</v>
      </c>
      <c r="M32" s="49" t="s">
        <v>170</v>
      </c>
      <c r="N32" s="50" t="s">
        <v>171</v>
      </c>
    </row>
    <row r="33" spans="2:14">
      <c r="B33" s="62" t="s">
        <v>174</v>
      </c>
      <c r="N33" s="51"/>
    </row>
    <row r="34" spans="2:14">
      <c r="B34" s="48" t="s">
        <v>175</v>
      </c>
      <c r="F34" s="52">
        <f>F21</f>
        <v>5915</v>
      </c>
      <c r="G34" s="52">
        <f>G21</f>
        <v>6311</v>
      </c>
      <c r="H34" s="52">
        <f>H21</f>
        <v>3702</v>
      </c>
      <c r="I34" s="52">
        <f>I21</f>
        <v>3274.0463000000036</v>
      </c>
      <c r="J34" s="52">
        <f>J21</f>
        <v>4003.6909039999991</v>
      </c>
      <c r="K34" s="52">
        <f>K21</f>
        <v>5404.9827203999994</v>
      </c>
      <c r="L34" s="52">
        <f>L21</f>
        <v>7069.7173982831991</v>
      </c>
      <c r="M34" s="52">
        <f>M21</f>
        <v>7705.9919641286942</v>
      </c>
      <c r="N34" s="55">
        <f>N21</f>
        <v>12188.310623263551</v>
      </c>
    </row>
    <row r="35" spans="2:14">
      <c r="B35" s="48" t="s">
        <v>176</v>
      </c>
      <c r="F35" s="52">
        <f>F24</f>
        <v>1131</v>
      </c>
      <c r="G35" s="52">
        <f>G24</f>
        <v>1000</v>
      </c>
      <c r="H35" s="52">
        <f>H24</f>
        <v>666</v>
      </c>
      <c r="I35" s="52">
        <f>I24</f>
        <v>481.48294500000054</v>
      </c>
      <c r="J35" s="52">
        <f>J24</f>
        <v>590.93263559999991</v>
      </c>
      <c r="K35" s="52">
        <f>K24</f>
        <v>801.12640805999979</v>
      </c>
      <c r="L35" s="52">
        <f>L24</f>
        <v>1052.3366097424798</v>
      </c>
      <c r="M35" s="52">
        <f>M24</f>
        <v>1147.7447946193042</v>
      </c>
      <c r="N35" s="55">
        <f>N24</f>
        <v>1828.2465934895326</v>
      </c>
    </row>
    <row r="36" spans="2:14">
      <c r="B36" s="62" t="s">
        <v>177</v>
      </c>
      <c r="F36" s="56">
        <f>F34-F35</f>
        <v>4784</v>
      </c>
      <c r="G36" s="56">
        <f t="shared" ref="G36:N36" si="7">G34-G35</f>
        <v>5311</v>
      </c>
      <c r="H36" s="56">
        <f t="shared" si="7"/>
        <v>3036</v>
      </c>
      <c r="I36" s="56">
        <f t="shared" si="7"/>
        <v>2792.563355000003</v>
      </c>
      <c r="J36" s="56">
        <f t="shared" si="7"/>
        <v>3412.758268399999</v>
      </c>
      <c r="K36" s="56">
        <f t="shared" si="7"/>
        <v>4603.8563123399999</v>
      </c>
      <c r="L36" s="56">
        <f t="shared" si="7"/>
        <v>6017.3807885407195</v>
      </c>
      <c r="M36" s="56">
        <f t="shared" si="7"/>
        <v>6558.24716950939</v>
      </c>
      <c r="N36" s="57">
        <f t="shared" si="7"/>
        <v>10360.064029774017</v>
      </c>
    </row>
    <row r="37" spans="2:14">
      <c r="B37" s="48" t="s">
        <v>178</v>
      </c>
      <c r="F37" s="52">
        <f>-F20</f>
        <v>703</v>
      </c>
      <c r="G37" s="52">
        <f>-G20</f>
        <v>796</v>
      </c>
      <c r="H37" s="52">
        <f>-H20</f>
        <v>775</v>
      </c>
      <c r="I37" s="52">
        <f>-I20</f>
        <v>550.30742936891841</v>
      </c>
      <c r="J37" s="52">
        <f>-J20</f>
        <v>701.82912672632051</v>
      </c>
      <c r="K37" s="52">
        <f>-K20</f>
        <v>824.70850318335033</v>
      </c>
      <c r="L37" s="52">
        <f>-L20</f>
        <v>942.40421972277932</v>
      </c>
      <c r="M37" s="52">
        <f>-M20</f>
        <v>1077.7132984459913</v>
      </c>
      <c r="N37" s="55">
        <f>-N20</f>
        <v>1228.5931602284302</v>
      </c>
    </row>
    <row r="38" spans="2:14">
      <c r="B38" s="48" t="s">
        <v>179</v>
      </c>
      <c r="F38" s="52">
        <f>'Simplified Model'!G58</f>
        <v>-969</v>
      </c>
      <c r="G38" s="52">
        <f>'Simplified Model'!H58</f>
        <v>-812</v>
      </c>
      <c r="H38" s="52">
        <f>'Simplified Model'!I58</f>
        <v>-430</v>
      </c>
      <c r="I38" s="52">
        <f>'Simplified Model'!J58</f>
        <v>-1403.1627000000001</v>
      </c>
      <c r="J38" s="52">
        <f>'Simplified Model'!K58</f>
        <v>-1501.3840890000001</v>
      </c>
      <c r="K38" s="52">
        <f>'Simplified Model'!L58</f>
        <v>-1621.4948161200002</v>
      </c>
      <c r="L38" s="52">
        <f>'Simplified Model'!M58</f>
        <v>-1767.4293495708002</v>
      </c>
      <c r="M38" s="52">
        <f>'Simplified Model'!N58</f>
        <v>-1926.4979910321724</v>
      </c>
      <c r="N38" s="55">
        <v>-1800</v>
      </c>
    </row>
    <row r="39" spans="2:14">
      <c r="B39" s="48" t="s">
        <v>180</v>
      </c>
      <c r="F39" s="52">
        <f>'Simplified Model'!G56</f>
        <v>-513</v>
      </c>
      <c r="G39" s="52">
        <f>'Simplified Model'!H56</f>
        <v>716</v>
      </c>
      <c r="H39" s="52">
        <f>'Simplified Model'!I56</f>
        <v>-787</v>
      </c>
      <c r="I39" s="52">
        <f>'Simplified Model'!J56</f>
        <v>-1750.3348757990864</v>
      </c>
      <c r="J39" s="52">
        <f>'Simplified Model'!K56</f>
        <v>453.87159187701855</v>
      </c>
      <c r="K39" s="52">
        <f>'Simplified Model'!L56</f>
        <v>548.85170119346458</v>
      </c>
      <c r="L39" s="52">
        <f>'Simplified Model'!M56</f>
        <v>912.9042072081736</v>
      </c>
      <c r="M39" s="52">
        <f>'Simplified Model'!N56</f>
        <v>1434.5745666558362</v>
      </c>
      <c r="N39" s="55">
        <v>1500</v>
      </c>
    </row>
    <row r="40" spans="2:14" ht="15" thickBot="1">
      <c r="B40" s="62" t="s">
        <v>174</v>
      </c>
      <c r="F40" s="63">
        <f>SUM(F36:F39)</f>
        <v>4005</v>
      </c>
      <c r="G40" s="63">
        <f t="shared" ref="G40:N40" si="8">SUM(G36:G39)</f>
        <v>6011</v>
      </c>
      <c r="H40" s="63">
        <f t="shared" si="8"/>
        <v>2594</v>
      </c>
      <c r="I40" s="63">
        <f t="shared" si="8"/>
        <v>189.37320856983479</v>
      </c>
      <c r="J40" s="63">
        <f t="shared" si="8"/>
        <v>3067.0748980033377</v>
      </c>
      <c r="K40" s="63">
        <f t="shared" si="8"/>
        <v>4355.9217005968148</v>
      </c>
      <c r="L40" s="63">
        <f t="shared" si="8"/>
        <v>6105.2598659008727</v>
      </c>
      <c r="M40" s="63">
        <f t="shared" si="8"/>
        <v>7144.0370435790446</v>
      </c>
      <c r="N40" s="64">
        <f t="shared" si="8"/>
        <v>11288.657190002448</v>
      </c>
    </row>
    <row r="42" spans="2:14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</row>
    <row r="44" spans="2:14" ht="23">
      <c r="B44" s="71" t="s">
        <v>229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</row>
    <row r="46" spans="2:14" ht="15" thickBot="1">
      <c r="I46" s="49" t="s">
        <v>166</v>
      </c>
      <c r="J46" s="49" t="s">
        <v>167</v>
      </c>
      <c r="K46" s="49" t="s">
        <v>168</v>
      </c>
      <c r="L46" s="49" t="s">
        <v>169</v>
      </c>
      <c r="M46" s="49" t="s">
        <v>170</v>
      </c>
      <c r="N46" s="50" t="s">
        <v>171</v>
      </c>
    </row>
    <row r="47" spans="2:14">
      <c r="N47" s="51"/>
    </row>
    <row r="48" spans="2:14">
      <c r="B48" s="48" t="s">
        <v>174</v>
      </c>
      <c r="I48" s="73">
        <f>I40</f>
        <v>189.37320856983479</v>
      </c>
      <c r="J48" s="74">
        <f t="shared" ref="J48:N48" si="9">J40</f>
        <v>3067.0748980033377</v>
      </c>
      <c r="K48" s="74">
        <f t="shared" si="9"/>
        <v>4355.9217005968148</v>
      </c>
      <c r="L48" s="74">
        <f t="shared" si="9"/>
        <v>6105.2598659008727</v>
      </c>
      <c r="M48" s="74">
        <f t="shared" si="9"/>
        <v>7144.0370435790446</v>
      </c>
      <c r="N48" s="118">
        <f t="shared" si="9"/>
        <v>11288.657190002448</v>
      </c>
    </row>
    <row r="49" spans="2:14">
      <c r="B49" s="48" t="s">
        <v>161</v>
      </c>
      <c r="I49" s="75"/>
      <c r="J49" s="61"/>
      <c r="K49" s="61"/>
      <c r="L49" s="61"/>
      <c r="M49" s="61"/>
      <c r="N49" s="119">
        <f>N48+N18</f>
        <v>24705.56097349443</v>
      </c>
    </row>
    <row r="50" spans="2:14">
      <c r="N50" s="51"/>
    </row>
    <row r="51" spans="2:14">
      <c r="N51" s="51"/>
    </row>
    <row r="52" spans="2:14">
      <c r="B52" s="62" t="s">
        <v>181</v>
      </c>
      <c r="N52" s="51"/>
    </row>
    <row r="53" spans="2:14">
      <c r="B53" s="48" t="s">
        <v>182</v>
      </c>
      <c r="I53" s="65">
        <f>I48</f>
        <v>189.37320856983479</v>
      </c>
      <c r="J53" s="65">
        <f t="shared" ref="J53:N53" si="10">J48</f>
        <v>3067.0748980033377</v>
      </c>
      <c r="K53" s="65">
        <f t="shared" si="10"/>
        <v>4355.9217005968148</v>
      </c>
      <c r="L53" s="65">
        <f t="shared" si="10"/>
        <v>6105.2598659008727</v>
      </c>
      <c r="M53" s="65">
        <f t="shared" si="10"/>
        <v>7144.0370435790446</v>
      </c>
      <c r="N53" s="120">
        <f t="shared" si="10"/>
        <v>11288.657190002448</v>
      </c>
    </row>
    <row r="54" spans="2:14">
      <c r="B54" s="48" t="s">
        <v>183</v>
      </c>
      <c r="I54" s="48">
        <v>0</v>
      </c>
      <c r="J54" s="48">
        <v>0</v>
      </c>
      <c r="K54" s="48">
        <v>0</v>
      </c>
      <c r="L54" s="48">
        <v>0</v>
      </c>
      <c r="M54" s="48">
        <v>0</v>
      </c>
      <c r="N54" s="120">
        <f>N53*D61</f>
        <v>135463.88628002937</v>
      </c>
    </row>
    <row r="55" spans="2:14">
      <c r="B55" s="76" t="s">
        <v>230</v>
      </c>
      <c r="C55" s="77"/>
      <c r="D55" s="77"/>
      <c r="E55" s="77"/>
      <c r="F55" s="77"/>
      <c r="G55" s="77"/>
      <c r="H55" s="77"/>
      <c r="I55" s="78">
        <f>SUM(I53:I54)</f>
        <v>189.37320856983479</v>
      </c>
      <c r="J55" s="78">
        <f t="shared" ref="J55:N55" si="11">SUM(J53:J54)</f>
        <v>3067.0748980033377</v>
      </c>
      <c r="K55" s="78">
        <f t="shared" si="11"/>
        <v>4355.9217005968148</v>
      </c>
      <c r="L55" s="78">
        <f t="shared" si="11"/>
        <v>6105.2598659008727</v>
      </c>
      <c r="M55" s="78">
        <f t="shared" si="11"/>
        <v>7144.0370435790446</v>
      </c>
      <c r="N55" s="121">
        <f t="shared" si="11"/>
        <v>146752.54347003181</v>
      </c>
    </row>
    <row r="56" spans="2:14">
      <c r="B56" s="68"/>
      <c r="C56" s="67"/>
      <c r="D56" s="67"/>
      <c r="E56" s="67"/>
      <c r="F56" s="67"/>
      <c r="G56" s="67"/>
      <c r="H56" s="67"/>
      <c r="I56" s="113"/>
      <c r="J56" s="113"/>
      <c r="K56" s="113"/>
      <c r="L56" s="113"/>
      <c r="M56" s="113"/>
      <c r="N56" s="113"/>
    </row>
    <row r="57" spans="2:14">
      <c r="B57" s="109"/>
      <c r="C57" s="61"/>
      <c r="D57" s="61"/>
      <c r="E57" s="61"/>
      <c r="F57" s="61"/>
      <c r="G57" s="61"/>
      <c r="H57" s="61"/>
      <c r="I57" s="114"/>
      <c r="J57" s="114"/>
      <c r="K57" s="114"/>
      <c r="L57" s="114"/>
      <c r="M57" s="114"/>
      <c r="N57" s="114"/>
    </row>
    <row r="59" spans="2:14" ht="16">
      <c r="B59" s="79" t="s">
        <v>184</v>
      </c>
      <c r="C59" s="79"/>
      <c r="D59" s="79"/>
      <c r="E59" s="79"/>
      <c r="F59" s="79"/>
      <c r="G59" s="79" t="s">
        <v>188</v>
      </c>
      <c r="H59" s="79"/>
      <c r="I59" s="62"/>
      <c r="J59" s="62"/>
      <c r="K59" s="46" t="s">
        <v>211</v>
      </c>
    </row>
    <row r="60" spans="2:14" ht="16">
      <c r="B60" s="90" t="s">
        <v>185</v>
      </c>
      <c r="C60" s="84"/>
      <c r="D60" s="95">
        <v>2026</v>
      </c>
      <c r="G60" s="90" t="s">
        <v>189</v>
      </c>
      <c r="H60" s="84"/>
      <c r="I60" s="91">
        <f>NPV(D62,I53,J53,K53,L53,M53)</f>
        <v>14802.199091107424</v>
      </c>
      <c r="K60" s="44" t="s">
        <v>210</v>
      </c>
      <c r="L60" s="66"/>
      <c r="M60" s="66"/>
      <c r="N60" s="81">
        <f>I75</f>
        <v>87783.543201106702</v>
      </c>
    </row>
    <row r="61" spans="2:14" ht="16">
      <c r="B61" s="92" t="s">
        <v>186</v>
      </c>
      <c r="C61" s="86"/>
      <c r="D61" s="96">
        <v>12</v>
      </c>
      <c r="G61" s="92" t="s">
        <v>190</v>
      </c>
      <c r="H61" s="86"/>
      <c r="I61" s="94">
        <f>NPV(D62,I54:N54)</f>
        <v>78317.344109999278</v>
      </c>
      <c r="K61" s="45" t="s">
        <v>201</v>
      </c>
      <c r="L61" s="67"/>
      <c r="M61" s="67"/>
      <c r="N61" s="83">
        <f>D80</f>
        <v>1480</v>
      </c>
    </row>
    <row r="62" spans="2:14" ht="16">
      <c r="B62" s="93" t="s">
        <v>187</v>
      </c>
      <c r="C62" s="88"/>
      <c r="D62" s="97">
        <f>(D82*D69)+(D88*D75)</f>
        <v>9.5622468346109685E-2</v>
      </c>
      <c r="G62" s="93" t="s">
        <v>191</v>
      </c>
      <c r="H62" s="88"/>
      <c r="I62" s="89">
        <f>I60+I61</f>
        <v>93119.543201106702</v>
      </c>
      <c r="K62" s="115" t="s">
        <v>210</v>
      </c>
      <c r="L62" s="109"/>
      <c r="M62" s="109"/>
      <c r="N62" s="116">
        <f>N60/N61</f>
        <v>59.31320486561264</v>
      </c>
    </row>
    <row r="65" spans="2:12" ht="16">
      <c r="B65" s="79" t="s">
        <v>192</v>
      </c>
      <c r="C65" s="70"/>
      <c r="D65" s="70"/>
      <c r="E65" s="70"/>
      <c r="F65" s="70"/>
      <c r="G65" s="79" t="s">
        <v>224</v>
      </c>
      <c r="H65" s="70"/>
    </row>
    <row r="66" spans="2:12" ht="16">
      <c r="B66" s="90" t="s">
        <v>193</v>
      </c>
      <c r="C66" s="84"/>
      <c r="D66" s="98">
        <v>4.6199999999999998E-2</v>
      </c>
      <c r="G66" s="90" t="s">
        <v>225</v>
      </c>
      <c r="H66" s="84"/>
      <c r="I66" s="91">
        <f>'Simplified Model'!I38</f>
        <v>4839</v>
      </c>
    </row>
    <row r="67" spans="2:12" ht="16">
      <c r="B67" s="92" t="s">
        <v>194</v>
      </c>
      <c r="C67" s="86"/>
      <c r="D67" s="96">
        <v>1.1299999999999999</v>
      </c>
      <c r="G67" s="92" t="s">
        <v>41</v>
      </c>
      <c r="H67" s="86"/>
      <c r="I67" s="87">
        <f>'Simplified Model'!I37</f>
        <v>7961</v>
      </c>
      <c r="K67" s="122"/>
    </row>
    <row r="68" spans="2:12" ht="16">
      <c r="B68" s="92" t="s">
        <v>195</v>
      </c>
      <c r="C68" s="86"/>
      <c r="D68" s="99">
        <v>0.05</v>
      </c>
      <c r="G68" s="124" t="s">
        <v>226</v>
      </c>
      <c r="H68" s="125"/>
      <c r="I68" s="94">
        <f>'Simplified Model'!I20</f>
        <v>7464</v>
      </c>
    </row>
    <row r="69" spans="2:12" ht="16">
      <c r="B69" s="93" t="s">
        <v>196</v>
      </c>
      <c r="C69" s="88"/>
      <c r="D69" s="99">
        <f>D66*D67+D68</f>
        <v>0.10220599999999999</v>
      </c>
      <c r="G69" s="93" t="s">
        <v>227</v>
      </c>
      <c r="H69" s="88"/>
      <c r="I69" s="94">
        <f>(I66+I67)-I68</f>
        <v>5336</v>
      </c>
    </row>
    <row r="72" spans="2:12" ht="16">
      <c r="B72" s="79" t="s">
        <v>197</v>
      </c>
      <c r="C72" s="62"/>
      <c r="D72" s="62"/>
      <c r="E72" s="62"/>
      <c r="F72" s="62"/>
      <c r="G72" s="46" t="s">
        <v>208</v>
      </c>
      <c r="H72" s="62"/>
    </row>
    <row r="73" spans="2:12" ht="16">
      <c r="B73" s="90" t="s">
        <v>198</v>
      </c>
      <c r="C73" s="84"/>
      <c r="D73" s="98">
        <v>3.5000000000000003E-2</v>
      </c>
      <c r="G73" s="44" t="s">
        <v>191</v>
      </c>
      <c r="H73" s="84"/>
      <c r="I73" s="85">
        <f>I62</f>
        <v>93119.543201106702</v>
      </c>
    </row>
    <row r="74" spans="2:12" ht="16">
      <c r="B74" s="92" t="s">
        <v>125</v>
      </c>
      <c r="C74" s="86"/>
      <c r="D74" s="117">
        <f>J23</f>
        <v>0.15</v>
      </c>
      <c r="G74" s="45" t="s">
        <v>209</v>
      </c>
      <c r="H74" s="86"/>
      <c r="I74" s="94">
        <f>-I69</f>
        <v>-5336</v>
      </c>
    </row>
    <row r="75" spans="2:12" ht="16">
      <c r="B75" s="93" t="s">
        <v>199</v>
      </c>
      <c r="C75" s="88"/>
      <c r="D75" s="101">
        <f>D73*(1-D74)</f>
        <v>2.9750000000000002E-2</v>
      </c>
      <c r="G75" s="47" t="s">
        <v>210</v>
      </c>
      <c r="H75" s="88"/>
      <c r="I75" s="89">
        <f>SUM(I73:I74)</f>
        <v>87783.543201106702</v>
      </c>
    </row>
    <row r="78" spans="2:12" ht="16">
      <c r="B78" s="43" t="s">
        <v>200</v>
      </c>
      <c r="G78" s="79" t="s">
        <v>212</v>
      </c>
    </row>
    <row r="79" spans="2:12" ht="16">
      <c r="B79" s="44" t="s">
        <v>233</v>
      </c>
      <c r="C79" s="84"/>
      <c r="D79" s="95">
        <v>42.77</v>
      </c>
      <c r="G79" s="112"/>
      <c r="H79" s="77">
        <v>2026</v>
      </c>
      <c r="I79" s="107" t="s">
        <v>213</v>
      </c>
      <c r="J79" s="107" t="s">
        <v>214</v>
      </c>
      <c r="K79" s="107" t="s">
        <v>223</v>
      </c>
      <c r="L79" s="108"/>
    </row>
    <row r="80" spans="2:12" ht="16">
      <c r="B80" s="45" t="s">
        <v>201</v>
      </c>
      <c r="C80" s="86"/>
      <c r="D80" s="102">
        <v>1480</v>
      </c>
      <c r="G80" s="106" t="s">
        <v>215</v>
      </c>
      <c r="H80" s="67"/>
      <c r="I80" s="67">
        <v>999</v>
      </c>
      <c r="J80" s="67">
        <v>2026</v>
      </c>
      <c r="K80" s="67">
        <f>J80-$H$79</f>
        <v>0</v>
      </c>
      <c r="L80" s="82">
        <f>I80*K80</f>
        <v>0</v>
      </c>
    </row>
    <row r="81" spans="2:12" ht="16">
      <c r="B81" s="45" t="s">
        <v>202</v>
      </c>
      <c r="C81" s="86"/>
      <c r="D81" s="87">
        <f>D79*D80</f>
        <v>63299.600000000006</v>
      </c>
      <c r="G81" s="80" t="s">
        <v>216</v>
      </c>
      <c r="H81" s="67"/>
      <c r="I81" s="67">
        <v>999</v>
      </c>
      <c r="J81" s="67">
        <v>2027</v>
      </c>
      <c r="K81" s="67">
        <f t="shared" ref="K81:K87" si="12">J81-$H$79</f>
        <v>1</v>
      </c>
      <c r="L81" s="82">
        <f t="shared" ref="L81:L87" si="13">I81*K81</f>
        <v>999</v>
      </c>
    </row>
    <row r="82" spans="2:12" ht="16">
      <c r="B82" s="105" t="s">
        <v>203</v>
      </c>
      <c r="C82" s="86"/>
      <c r="D82" s="103">
        <f>D81/(D81+D87)</f>
        <v>0.90913752271874926</v>
      </c>
      <c r="G82" s="80" t="s">
        <v>217</v>
      </c>
      <c r="H82" s="67"/>
      <c r="I82" s="67">
        <v>1495</v>
      </c>
      <c r="J82" s="67">
        <v>2030</v>
      </c>
      <c r="K82" s="67">
        <f t="shared" si="12"/>
        <v>4</v>
      </c>
      <c r="L82" s="82">
        <f t="shared" si="13"/>
        <v>5980</v>
      </c>
    </row>
    <row r="83" spans="2:12" ht="16">
      <c r="B83" s="45" t="s">
        <v>204</v>
      </c>
      <c r="C83" s="86"/>
      <c r="D83" s="87">
        <f>-'Simplified Model'!I12</f>
        <v>107</v>
      </c>
      <c r="G83" s="80" t="s">
        <v>218</v>
      </c>
      <c r="H83" s="67"/>
      <c r="I83" s="67">
        <v>993</v>
      </c>
      <c r="J83" s="67">
        <v>2040</v>
      </c>
      <c r="K83" s="67">
        <f t="shared" si="12"/>
        <v>14</v>
      </c>
      <c r="L83" s="82">
        <f t="shared" si="13"/>
        <v>13902</v>
      </c>
    </row>
    <row r="84" spans="2:12" ht="16">
      <c r="B84" s="45" t="s">
        <v>205</v>
      </c>
      <c r="C84" s="86"/>
      <c r="D84" s="100">
        <f>D73</f>
        <v>3.5000000000000003E-2</v>
      </c>
      <c r="G84" s="80" t="s">
        <v>219</v>
      </c>
      <c r="H84" s="67"/>
      <c r="I84" s="67">
        <v>502</v>
      </c>
      <c r="J84" s="67">
        <v>2043</v>
      </c>
      <c r="K84" s="67">
        <f t="shared" si="12"/>
        <v>17</v>
      </c>
      <c r="L84" s="82">
        <f t="shared" si="13"/>
        <v>8534</v>
      </c>
    </row>
    <row r="85" spans="2:12" ht="16">
      <c r="B85" s="45" t="s">
        <v>206</v>
      </c>
      <c r="C85" s="86"/>
      <c r="D85" s="87">
        <f>'Simplified Model'!I37</f>
        <v>7961</v>
      </c>
      <c r="G85" s="80" t="s">
        <v>220</v>
      </c>
      <c r="H85" s="67"/>
      <c r="I85" s="67">
        <v>997</v>
      </c>
      <c r="J85" s="67">
        <v>2045</v>
      </c>
      <c r="K85" s="67">
        <f t="shared" si="12"/>
        <v>19</v>
      </c>
      <c r="L85" s="82">
        <f t="shared" si="13"/>
        <v>18943</v>
      </c>
    </row>
    <row r="86" spans="2:12" ht="16">
      <c r="B86" s="45" t="s">
        <v>231</v>
      </c>
      <c r="C86" s="86"/>
      <c r="D86" s="87">
        <f>L88/D85</f>
        <v>11.786207762843864</v>
      </c>
      <c r="G86" s="80" t="s">
        <v>221</v>
      </c>
      <c r="H86" s="67"/>
      <c r="I86" s="67">
        <v>494</v>
      </c>
      <c r="J86" s="67">
        <v>2046</v>
      </c>
      <c r="K86" s="67">
        <f t="shared" si="12"/>
        <v>20</v>
      </c>
      <c r="L86" s="82">
        <f t="shared" si="13"/>
        <v>9880</v>
      </c>
    </row>
    <row r="87" spans="2:12" ht="16">
      <c r="B87" s="45" t="s">
        <v>207</v>
      </c>
      <c r="C87" s="86"/>
      <c r="D87" s="87">
        <f>-PV(D84,D86,D83,D85)</f>
        <v>6326.3899280192418</v>
      </c>
      <c r="G87" s="80" t="s">
        <v>222</v>
      </c>
      <c r="H87" s="67"/>
      <c r="I87" s="67">
        <v>1483</v>
      </c>
      <c r="J87" s="67">
        <v>2050</v>
      </c>
      <c r="K87" s="67">
        <f t="shared" si="12"/>
        <v>24</v>
      </c>
      <c r="L87" s="82">
        <f t="shared" si="13"/>
        <v>35592</v>
      </c>
    </row>
    <row r="88" spans="2:12" ht="16">
      <c r="B88" s="104" t="s">
        <v>203</v>
      </c>
      <c r="C88" s="88"/>
      <c r="D88" s="97">
        <f>D87/(D81+D87)</f>
        <v>9.0862477281250742E-2</v>
      </c>
      <c r="G88" s="76" t="s">
        <v>232</v>
      </c>
      <c r="H88" s="110"/>
      <c r="I88" s="110"/>
      <c r="J88" s="110"/>
      <c r="K88" s="110"/>
      <c r="L88" s="111">
        <f>SUM(L80:L87)</f>
        <v>93830</v>
      </c>
    </row>
  </sheetData>
  <mergeCells count="2">
    <mergeCell ref="A1:N3"/>
    <mergeCell ref="G68:H6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3203125" defaultRowHeight="14"/>
  <cols>
    <col min="1" max="1" width="28" customWidth="1"/>
    <col min="2" max="2" width="26" customWidth="1"/>
    <col min="3" max="3" width="55" customWidth="1"/>
    <col min="4" max="4" width="80" customWidth="1"/>
  </cols>
  <sheetData>
    <row r="1" spans="1:4" ht="18">
      <c r="A1" s="22" t="s">
        <v>109</v>
      </c>
      <c r="B1" s="22"/>
      <c r="C1" s="22"/>
      <c r="D1" s="22"/>
    </row>
    <row r="3" spans="1:4" ht="15">
      <c r="A3" s="2" t="s">
        <v>110</v>
      </c>
      <c r="B3" s="2" t="s">
        <v>111</v>
      </c>
      <c r="C3" s="2" t="s">
        <v>112</v>
      </c>
      <c r="D3" s="2" t="s">
        <v>113</v>
      </c>
    </row>
    <row r="4" spans="1:4">
      <c r="A4" t="s">
        <v>114</v>
      </c>
      <c r="B4" t="s">
        <v>115</v>
      </c>
      <c r="C4" t="s">
        <v>116</v>
      </c>
      <c r="D4" t="s">
        <v>117</v>
      </c>
    </row>
    <row r="5" spans="1:4">
      <c r="A5" t="s">
        <v>114</v>
      </c>
      <c r="B5" t="s">
        <v>118</v>
      </c>
      <c r="C5" t="s">
        <v>119</v>
      </c>
      <c r="D5" t="s">
        <v>120</v>
      </c>
    </row>
    <row r="6" spans="1:4">
      <c r="A6" t="s">
        <v>114</v>
      </c>
      <c r="B6" t="s">
        <v>121</v>
      </c>
      <c r="C6" t="s">
        <v>122</v>
      </c>
      <c r="D6" t="s">
        <v>123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Historical Statements</vt:lpstr>
      <vt:lpstr>Simplified Model</vt:lpstr>
      <vt:lpstr>DCF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M</cp:lastModifiedBy>
  <dcterms:created xsi:type="dcterms:W3CDTF">2026-07-14T14:31:24Z</dcterms:created>
  <dcterms:modified xsi:type="dcterms:W3CDTF">2026-07-18T22:45:38Z</dcterms:modified>
</cp:coreProperties>
</file>