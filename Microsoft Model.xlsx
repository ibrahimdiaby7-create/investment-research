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teamdojo/Desktop/Prep/"/>
    </mc:Choice>
  </mc:AlternateContent>
  <xr:revisionPtr revIDLastSave="0" documentId="13_ncr:1_{4197E82D-874F-E646-A3A4-BB3BA730F035}" xr6:coauthVersionLast="47" xr6:coauthVersionMax="47" xr10:uidLastSave="{00000000-0000-0000-0000-000000000000}"/>
  <bookViews>
    <workbookView xWindow="0" yWindow="500" windowWidth="28800" windowHeight="16260" activeTab="1" xr2:uid="{00000000-000D-0000-FFFF-FFFF00000000}"/>
  </bookViews>
  <sheets>
    <sheet name="Summary" sheetId="7" r:id="rId1"/>
    <sheet name="Full Historical Statements" sheetId="1" r:id="rId2"/>
    <sheet name="Simplified Model" sheetId="2" r:id="rId3"/>
    <sheet name="Ratios" sheetId="3" r:id="rId4"/>
    <sheet name="Valuation" sheetId="4" r:id="rId5"/>
    <sheet name="DCF" sheetId="6" r:id="rId6"/>
    <sheet name="Source Notes" sheetId="5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9" i="6" l="1"/>
  <c r="E7" i="7"/>
  <c r="D79" i="6"/>
  <c r="N59" i="6" s="1"/>
  <c r="K80" i="6"/>
  <c r="L80" i="6" s="1"/>
  <c r="K81" i="6"/>
  <c r="L81" i="6" s="1"/>
  <c r="K82" i="6"/>
  <c r="L82" i="6" s="1"/>
  <c r="K83" i="6"/>
  <c r="L83" i="6" s="1"/>
  <c r="K79" i="6"/>
  <c r="J91" i="6"/>
  <c r="K91" i="6" s="1"/>
  <c r="L91" i="6" s="1"/>
  <c r="J90" i="6"/>
  <c r="K90" i="6" s="1"/>
  <c r="L90" i="6" s="1"/>
  <c r="J89" i="6"/>
  <c r="K89" i="6" s="1"/>
  <c r="L89" i="6" s="1"/>
  <c r="J88" i="6"/>
  <c r="K88" i="6" s="1"/>
  <c r="L88" i="6" s="1"/>
  <c r="J87" i="6"/>
  <c r="K87" i="6" s="1"/>
  <c r="L87" i="6" s="1"/>
  <c r="J86" i="6"/>
  <c r="K86" i="6" s="1"/>
  <c r="L86" i="6" s="1"/>
  <c r="J85" i="6"/>
  <c r="K85" i="6" s="1"/>
  <c r="L85" i="6" s="1"/>
  <c r="J84" i="6"/>
  <c r="K84" i="6" s="1"/>
  <c r="L84" i="6" s="1"/>
  <c r="D82" i="6"/>
  <c r="D72" i="6"/>
  <c r="F16" i="1"/>
  <c r="G16" i="1"/>
  <c r="H16" i="1"/>
  <c r="I16" i="1"/>
  <c r="E16" i="1"/>
  <c r="L79" i="6"/>
  <c r="D68" i="6"/>
  <c r="J73" i="1"/>
  <c r="K73" i="1" s="1"/>
  <c r="J83" i="1"/>
  <c r="K83" i="1" s="1"/>
  <c r="L83" i="1" s="1"/>
  <c r="M83" i="1" s="1"/>
  <c r="N83" i="1" s="1"/>
  <c r="J102" i="1"/>
  <c r="K102" i="1" s="1"/>
  <c r="L102" i="1" s="1"/>
  <c r="J105" i="1"/>
  <c r="K105" i="1" s="1"/>
  <c r="L105" i="1" s="1"/>
  <c r="F7" i="4"/>
  <c r="E7" i="4"/>
  <c r="D7" i="4"/>
  <c r="C7" i="4"/>
  <c r="H32" i="3"/>
  <c r="E22" i="7" s="1"/>
  <c r="G32" i="3"/>
  <c r="F32" i="3"/>
  <c r="E32" i="3"/>
  <c r="D32" i="3"/>
  <c r="H37" i="3"/>
  <c r="G37" i="3"/>
  <c r="F37" i="3"/>
  <c r="E37" i="3"/>
  <c r="D37" i="3"/>
  <c r="H10" i="3"/>
  <c r="G10" i="3"/>
  <c r="F10" i="3"/>
  <c r="E10" i="3"/>
  <c r="D10" i="3"/>
  <c r="G98" i="2"/>
  <c r="F98" i="2"/>
  <c r="E98" i="2"/>
  <c r="D98" i="2"/>
  <c r="C98" i="2"/>
  <c r="G96" i="2"/>
  <c r="F96" i="2"/>
  <c r="E96" i="2"/>
  <c r="D96" i="2"/>
  <c r="C96" i="2"/>
  <c r="L94" i="2"/>
  <c r="K94" i="2"/>
  <c r="J94" i="2"/>
  <c r="I94" i="2"/>
  <c r="H94" i="2"/>
  <c r="G94" i="2"/>
  <c r="F94" i="2"/>
  <c r="E94" i="2"/>
  <c r="D94" i="2"/>
  <c r="C94" i="2"/>
  <c r="G93" i="2"/>
  <c r="F93" i="2"/>
  <c r="E93" i="2"/>
  <c r="D93" i="2"/>
  <c r="C93" i="2"/>
  <c r="L92" i="2"/>
  <c r="K92" i="2"/>
  <c r="J92" i="2"/>
  <c r="I92" i="2"/>
  <c r="H92" i="2"/>
  <c r="G92" i="2"/>
  <c r="F92" i="2"/>
  <c r="E92" i="2"/>
  <c r="D92" i="2"/>
  <c r="C92" i="2"/>
  <c r="L91" i="2"/>
  <c r="K91" i="2"/>
  <c r="J91" i="2"/>
  <c r="I91" i="2"/>
  <c r="H91" i="2"/>
  <c r="G91" i="2"/>
  <c r="F91" i="2"/>
  <c r="E91" i="2"/>
  <c r="D91" i="2"/>
  <c r="C91" i="2"/>
  <c r="G90" i="2"/>
  <c r="F90" i="2"/>
  <c r="E90" i="2"/>
  <c r="D90" i="2"/>
  <c r="C90" i="2"/>
  <c r="G88" i="2"/>
  <c r="F88" i="2"/>
  <c r="E88" i="2"/>
  <c r="D88" i="2"/>
  <c r="C88" i="2"/>
  <c r="G87" i="2"/>
  <c r="F87" i="2"/>
  <c r="E87" i="2"/>
  <c r="D87" i="2"/>
  <c r="C87" i="2"/>
  <c r="G86" i="2"/>
  <c r="F86" i="2"/>
  <c r="E86" i="2"/>
  <c r="D86" i="2"/>
  <c r="C86" i="2"/>
  <c r="L85" i="2"/>
  <c r="K85" i="2"/>
  <c r="J85" i="2"/>
  <c r="I85" i="2"/>
  <c r="G85" i="2"/>
  <c r="F85" i="2"/>
  <c r="E85" i="2"/>
  <c r="D85" i="2"/>
  <c r="C85" i="2"/>
  <c r="L84" i="2"/>
  <c r="K84" i="2"/>
  <c r="J84" i="2"/>
  <c r="I84" i="2"/>
  <c r="H84" i="2"/>
  <c r="G84" i="2"/>
  <c r="F84" i="2"/>
  <c r="E84" i="2"/>
  <c r="D84" i="2"/>
  <c r="C84" i="2"/>
  <c r="G82" i="2"/>
  <c r="H36" i="6" s="1"/>
  <c r="F82" i="2"/>
  <c r="G36" i="6" s="1"/>
  <c r="E82" i="2"/>
  <c r="F36" i="6" s="1"/>
  <c r="D82" i="2"/>
  <c r="C82" i="2"/>
  <c r="G79" i="2"/>
  <c r="F79" i="2"/>
  <c r="E79" i="2"/>
  <c r="D79" i="2"/>
  <c r="C79" i="2"/>
  <c r="G78" i="2"/>
  <c r="F78" i="2"/>
  <c r="E78" i="2"/>
  <c r="D78" i="2"/>
  <c r="C78" i="2"/>
  <c r="L77" i="2"/>
  <c r="K77" i="2"/>
  <c r="J77" i="2"/>
  <c r="I77" i="2"/>
  <c r="H77" i="2"/>
  <c r="G77" i="2"/>
  <c r="F77" i="2"/>
  <c r="E77" i="2"/>
  <c r="D77" i="2"/>
  <c r="C77" i="2"/>
  <c r="G75" i="2"/>
  <c r="F75" i="2"/>
  <c r="E75" i="2"/>
  <c r="D75" i="2"/>
  <c r="C75" i="2"/>
  <c r="G73" i="2"/>
  <c r="H18" i="6" s="1"/>
  <c r="F73" i="2"/>
  <c r="G18" i="6" s="1"/>
  <c r="E73" i="2"/>
  <c r="F18" i="6" s="1"/>
  <c r="F35" i="6" s="1"/>
  <c r="D73" i="2"/>
  <c r="C73" i="2"/>
  <c r="G72" i="2"/>
  <c r="F72" i="2"/>
  <c r="E72" i="2"/>
  <c r="D72" i="2"/>
  <c r="C72" i="2"/>
  <c r="G65" i="2"/>
  <c r="F65" i="2"/>
  <c r="E65" i="2"/>
  <c r="D65" i="2"/>
  <c r="C65" i="2"/>
  <c r="G64" i="2"/>
  <c r="F64" i="2"/>
  <c r="E64" i="2"/>
  <c r="D64" i="2"/>
  <c r="C64" i="2"/>
  <c r="G63" i="2"/>
  <c r="F63" i="2"/>
  <c r="E63" i="2"/>
  <c r="D63" i="2"/>
  <c r="C63" i="2"/>
  <c r="G61" i="2"/>
  <c r="F61" i="2"/>
  <c r="E61" i="2"/>
  <c r="D61" i="2"/>
  <c r="C61" i="2"/>
  <c r="G60" i="2"/>
  <c r="F60" i="2"/>
  <c r="E60" i="2"/>
  <c r="D60" i="2"/>
  <c r="C60" i="2"/>
  <c r="L59" i="2"/>
  <c r="K59" i="2"/>
  <c r="J59" i="2"/>
  <c r="I59" i="2"/>
  <c r="H59" i="2"/>
  <c r="G59" i="2"/>
  <c r="F59" i="2"/>
  <c r="E59" i="2"/>
  <c r="D59" i="2"/>
  <c r="C59" i="2"/>
  <c r="G58" i="2"/>
  <c r="F58" i="2"/>
  <c r="E58" i="2"/>
  <c r="D58" i="2"/>
  <c r="C58" i="2"/>
  <c r="G57" i="2"/>
  <c r="F57" i="2"/>
  <c r="E57" i="2"/>
  <c r="D57" i="2"/>
  <c r="C57" i="2"/>
  <c r="L56" i="2"/>
  <c r="G56" i="2"/>
  <c r="F56" i="2"/>
  <c r="E56" i="2"/>
  <c r="D56" i="2"/>
  <c r="C56" i="2"/>
  <c r="G54" i="2"/>
  <c r="F54" i="2"/>
  <c r="E54" i="2"/>
  <c r="D54" i="2"/>
  <c r="C54" i="2"/>
  <c r="G53" i="2"/>
  <c r="F53" i="2"/>
  <c r="E53" i="2"/>
  <c r="D53" i="2"/>
  <c r="C53" i="2"/>
  <c r="G52" i="2"/>
  <c r="F52" i="2"/>
  <c r="E52" i="2"/>
  <c r="D52" i="2"/>
  <c r="C52" i="2"/>
  <c r="G51" i="2"/>
  <c r="F51" i="2"/>
  <c r="E51" i="2"/>
  <c r="D51" i="2"/>
  <c r="C51" i="2"/>
  <c r="L50" i="2"/>
  <c r="G50" i="2"/>
  <c r="F50" i="2"/>
  <c r="E50" i="2"/>
  <c r="D50" i="2"/>
  <c r="C50" i="2"/>
  <c r="L49" i="2"/>
  <c r="K49" i="2"/>
  <c r="J49" i="2"/>
  <c r="I49" i="2"/>
  <c r="H49" i="2"/>
  <c r="G49" i="2"/>
  <c r="I65" i="6" s="1"/>
  <c r="F49" i="2"/>
  <c r="E49" i="2"/>
  <c r="D49" i="2"/>
  <c r="C49" i="2"/>
  <c r="L48" i="2"/>
  <c r="K48" i="2"/>
  <c r="J48" i="2"/>
  <c r="I48" i="2"/>
  <c r="H48" i="2"/>
  <c r="G47" i="2"/>
  <c r="F47" i="2"/>
  <c r="E47" i="2"/>
  <c r="D47" i="2"/>
  <c r="C47" i="2"/>
  <c r="G45" i="2"/>
  <c r="F45" i="2"/>
  <c r="E45" i="2"/>
  <c r="D45" i="2"/>
  <c r="C45" i="2"/>
  <c r="G44" i="2"/>
  <c r="F44" i="2"/>
  <c r="E44" i="2"/>
  <c r="D44" i="2"/>
  <c r="C44" i="2"/>
  <c r="L43" i="2"/>
  <c r="K43" i="2"/>
  <c r="J43" i="2"/>
  <c r="I43" i="2"/>
  <c r="H43" i="2"/>
  <c r="G43" i="2"/>
  <c r="F43" i="2"/>
  <c r="E43" i="2"/>
  <c r="D43" i="2"/>
  <c r="C43" i="2"/>
  <c r="L42" i="2"/>
  <c r="K42" i="2"/>
  <c r="J42" i="2"/>
  <c r="I42" i="2"/>
  <c r="H42" i="2"/>
  <c r="G42" i="2"/>
  <c r="F42" i="2"/>
  <c r="E42" i="2"/>
  <c r="D42" i="2"/>
  <c r="C42" i="2"/>
  <c r="G41" i="2"/>
  <c r="F41" i="2"/>
  <c r="E41" i="2"/>
  <c r="D41" i="2"/>
  <c r="C41" i="2"/>
  <c r="G40" i="2"/>
  <c r="F40" i="2"/>
  <c r="E40" i="2"/>
  <c r="D40" i="2"/>
  <c r="C40" i="2"/>
  <c r="G38" i="2"/>
  <c r="F38" i="2"/>
  <c r="E38" i="2"/>
  <c r="D38" i="2"/>
  <c r="C38" i="2"/>
  <c r="L37" i="2"/>
  <c r="K37" i="2"/>
  <c r="J37" i="2"/>
  <c r="I37" i="2"/>
  <c r="H37" i="2"/>
  <c r="G36" i="2"/>
  <c r="F36" i="2"/>
  <c r="E36" i="2"/>
  <c r="D36" i="2"/>
  <c r="C36" i="2"/>
  <c r="L35" i="2"/>
  <c r="K35" i="2"/>
  <c r="J35" i="2"/>
  <c r="I35" i="2"/>
  <c r="H35" i="2"/>
  <c r="G34" i="2"/>
  <c r="F34" i="2"/>
  <c r="E34" i="2"/>
  <c r="D34" i="2"/>
  <c r="C34" i="2"/>
  <c r="G33" i="2"/>
  <c r="F33" i="2"/>
  <c r="E33" i="2"/>
  <c r="D33" i="2"/>
  <c r="C33" i="2"/>
  <c r="G32" i="2"/>
  <c r="I67" i="6" s="1"/>
  <c r="F32" i="2"/>
  <c r="E32" i="2"/>
  <c r="D32" i="2"/>
  <c r="C32" i="2"/>
  <c r="L28" i="2"/>
  <c r="K28" i="2"/>
  <c r="J28" i="2"/>
  <c r="I28" i="2"/>
  <c r="H28" i="2"/>
  <c r="G28" i="2"/>
  <c r="F28" i="2"/>
  <c r="E28" i="2"/>
  <c r="D28" i="2"/>
  <c r="C28" i="2"/>
  <c r="L27" i="2"/>
  <c r="K27" i="2"/>
  <c r="J27" i="2"/>
  <c r="I27" i="2"/>
  <c r="H27" i="2"/>
  <c r="G27" i="2"/>
  <c r="F27" i="2"/>
  <c r="E27" i="2"/>
  <c r="D27" i="2"/>
  <c r="C27" i="2"/>
  <c r="G23" i="2"/>
  <c r="H22" i="6" s="1"/>
  <c r="H33" i="6" s="1"/>
  <c r="F23" i="2"/>
  <c r="G22" i="6" s="1"/>
  <c r="G33" i="6" s="1"/>
  <c r="E23" i="2"/>
  <c r="F22" i="6" s="1"/>
  <c r="F33" i="6" s="1"/>
  <c r="D23" i="2"/>
  <c r="C23" i="2"/>
  <c r="G21" i="2"/>
  <c r="F21" i="2"/>
  <c r="E21" i="2"/>
  <c r="D21" i="2"/>
  <c r="C21" i="2"/>
  <c r="G17" i="2"/>
  <c r="F17" i="2"/>
  <c r="E17" i="2"/>
  <c r="D17" i="2"/>
  <c r="C17" i="2"/>
  <c r="G15" i="2"/>
  <c r="F15" i="2"/>
  <c r="E15" i="2"/>
  <c r="D15" i="2"/>
  <c r="C15" i="2"/>
  <c r="G13" i="2"/>
  <c r="F13" i="2"/>
  <c r="E13" i="2"/>
  <c r="D13" i="2"/>
  <c r="C13" i="2"/>
  <c r="L9" i="2"/>
  <c r="K9" i="2"/>
  <c r="J9" i="2"/>
  <c r="L10" i="7" s="1"/>
  <c r="I9" i="2"/>
  <c r="K10" i="7" s="1"/>
  <c r="H9" i="2"/>
  <c r="J10" i="7" s="1"/>
  <c r="I151" i="1"/>
  <c r="H151" i="1"/>
  <c r="G151" i="1"/>
  <c r="F151" i="1"/>
  <c r="E151" i="1"/>
  <c r="I150" i="1"/>
  <c r="H150" i="1"/>
  <c r="G150" i="1"/>
  <c r="F150" i="1"/>
  <c r="E150" i="1"/>
  <c r="J149" i="1"/>
  <c r="I149" i="1"/>
  <c r="H149" i="1"/>
  <c r="G149" i="1"/>
  <c r="E149" i="1"/>
  <c r="N148" i="1"/>
  <c r="M70" i="1" s="1"/>
  <c r="K50" i="2" s="1"/>
  <c r="M148" i="1"/>
  <c r="L70" i="1" s="1"/>
  <c r="J50" i="2" s="1"/>
  <c r="L148" i="1"/>
  <c r="K70" i="1" s="1"/>
  <c r="I50" i="2" s="1"/>
  <c r="K148" i="1"/>
  <c r="J70" i="1" s="1"/>
  <c r="H50" i="2" s="1"/>
  <c r="F148" i="1"/>
  <c r="F147" i="1"/>
  <c r="F146" i="1" s="1"/>
  <c r="I143" i="1"/>
  <c r="H143" i="1"/>
  <c r="G143" i="1"/>
  <c r="F143" i="1"/>
  <c r="E143" i="1"/>
  <c r="I142" i="1"/>
  <c r="H142" i="1"/>
  <c r="G142" i="1"/>
  <c r="F142" i="1"/>
  <c r="E142" i="1"/>
  <c r="I137" i="1"/>
  <c r="H137" i="1"/>
  <c r="G137" i="1"/>
  <c r="F137" i="1"/>
  <c r="E137" i="1"/>
  <c r="I136" i="1"/>
  <c r="H136" i="1"/>
  <c r="G136" i="1"/>
  <c r="F136" i="1"/>
  <c r="E136" i="1"/>
  <c r="I135" i="1"/>
  <c r="H135" i="1"/>
  <c r="G135" i="1"/>
  <c r="F135" i="1"/>
  <c r="E135" i="1"/>
  <c r="J125" i="1"/>
  <c r="H96" i="2" s="1"/>
  <c r="I124" i="1"/>
  <c r="G89" i="2" s="1"/>
  <c r="H124" i="1"/>
  <c r="F89" i="2" s="1"/>
  <c r="G124" i="1"/>
  <c r="E89" i="2" s="1"/>
  <c r="F124" i="1"/>
  <c r="D89" i="2" s="1"/>
  <c r="E124" i="1"/>
  <c r="C89" i="2" s="1"/>
  <c r="J123" i="1"/>
  <c r="J122" i="1"/>
  <c r="H87" i="2" s="1"/>
  <c r="J121" i="1"/>
  <c r="J120" i="1"/>
  <c r="H85" i="2" s="1"/>
  <c r="N118" i="1"/>
  <c r="M118" i="1"/>
  <c r="K82" i="2" s="1"/>
  <c r="L36" i="6" s="1"/>
  <c r="L118" i="1"/>
  <c r="L142" i="1" s="1"/>
  <c r="K118" i="1"/>
  <c r="J118" i="1"/>
  <c r="I116" i="1"/>
  <c r="G95" i="2" s="1"/>
  <c r="H116" i="1"/>
  <c r="F95" i="2" s="1"/>
  <c r="G116" i="1"/>
  <c r="E95" i="2" s="1"/>
  <c r="F116" i="1"/>
  <c r="D95" i="2" s="1"/>
  <c r="E116" i="1"/>
  <c r="C95" i="2" s="1"/>
  <c r="J114" i="1"/>
  <c r="H93" i="2" s="1"/>
  <c r="N111" i="1"/>
  <c r="M111" i="1"/>
  <c r="L111" i="1"/>
  <c r="K111" i="1"/>
  <c r="J111" i="1"/>
  <c r="N110" i="1"/>
  <c r="M110" i="1"/>
  <c r="L110" i="1"/>
  <c r="K110" i="1"/>
  <c r="J110" i="1"/>
  <c r="I106" i="1"/>
  <c r="G80" i="2" s="1"/>
  <c r="H106" i="1"/>
  <c r="G106" i="1"/>
  <c r="E80" i="2" s="1"/>
  <c r="F106" i="1"/>
  <c r="E106" i="1"/>
  <c r="J96" i="1"/>
  <c r="J94" i="1"/>
  <c r="H75" i="2" s="1"/>
  <c r="I86" i="1"/>
  <c r="H86" i="1"/>
  <c r="G86" i="1"/>
  <c r="F86" i="1"/>
  <c r="E86" i="1"/>
  <c r="J85" i="1"/>
  <c r="H65" i="2" s="1"/>
  <c r="J81" i="1"/>
  <c r="K81" i="1" s="1"/>
  <c r="J80" i="1"/>
  <c r="H60" i="2" s="1"/>
  <c r="J78" i="1"/>
  <c r="H58" i="2" s="1"/>
  <c r="J77" i="1"/>
  <c r="H57" i="2" s="1"/>
  <c r="I75" i="1"/>
  <c r="H75" i="1"/>
  <c r="F55" i="2" s="1"/>
  <c r="G75" i="1"/>
  <c r="E55" i="2" s="1"/>
  <c r="F75" i="1"/>
  <c r="E75" i="1"/>
  <c r="J74" i="1"/>
  <c r="K74" i="1" s="1"/>
  <c r="J72" i="1"/>
  <c r="J71" i="1"/>
  <c r="H51" i="2" s="1"/>
  <c r="J65" i="1"/>
  <c r="J100" i="1" s="1"/>
  <c r="J64" i="1"/>
  <c r="H44" i="2" s="1"/>
  <c r="J61" i="1"/>
  <c r="H41" i="2" s="1"/>
  <c r="J58" i="1"/>
  <c r="J99" i="1" s="1"/>
  <c r="I55" i="1"/>
  <c r="I59" i="1" s="1"/>
  <c r="I66" i="1" s="1"/>
  <c r="H55" i="1"/>
  <c r="H59" i="1" s="1"/>
  <c r="F39" i="2" s="1"/>
  <c r="G37" i="6" s="1"/>
  <c r="G55" i="1"/>
  <c r="G59" i="1" s="1"/>
  <c r="F55" i="1"/>
  <c r="F59" i="1" s="1"/>
  <c r="E55" i="1"/>
  <c r="E59" i="1" s="1"/>
  <c r="I36" i="1"/>
  <c r="G10" i="2" s="1"/>
  <c r="G48" i="2" s="1"/>
  <c r="H36" i="1"/>
  <c r="F10" i="2" s="1"/>
  <c r="F37" i="2" s="1"/>
  <c r="G36" i="1"/>
  <c r="E10" i="2" s="1"/>
  <c r="F36" i="1"/>
  <c r="D10" i="2" s="1"/>
  <c r="E36" i="1"/>
  <c r="C10" i="2" s="1"/>
  <c r="I33" i="1"/>
  <c r="G8" i="2" s="1"/>
  <c r="G83" i="2" s="1"/>
  <c r="H33" i="1"/>
  <c r="H12" i="1" s="1"/>
  <c r="G33" i="1"/>
  <c r="E8" i="2" s="1"/>
  <c r="F11" i="6" s="1"/>
  <c r="F33" i="1"/>
  <c r="F20" i="1" s="1"/>
  <c r="E33" i="1"/>
  <c r="I23" i="1"/>
  <c r="H23" i="1"/>
  <c r="G23" i="1"/>
  <c r="F23" i="1"/>
  <c r="F24" i="1" s="1"/>
  <c r="E23" i="1"/>
  <c r="I22" i="1"/>
  <c r="H22" i="1"/>
  <c r="G22" i="1"/>
  <c r="F22" i="1"/>
  <c r="E22" i="1"/>
  <c r="I21" i="1"/>
  <c r="H21" i="1"/>
  <c r="G21" i="1"/>
  <c r="F21" i="1"/>
  <c r="E21" i="1"/>
  <c r="I20" i="1"/>
  <c r="I19" i="1"/>
  <c r="H19" i="1"/>
  <c r="G19" i="1"/>
  <c r="F19" i="1"/>
  <c r="E19" i="1"/>
  <c r="I15" i="1"/>
  <c r="F14" i="1"/>
  <c r="F13" i="1"/>
  <c r="E12" i="1"/>
  <c r="E11" i="1"/>
  <c r="I10" i="1"/>
  <c r="F10" i="1"/>
  <c r="I9" i="1"/>
  <c r="H9" i="1"/>
  <c r="G9" i="1"/>
  <c r="F9" i="1"/>
  <c r="E9" i="1"/>
  <c r="F8" i="1"/>
  <c r="E8" i="1"/>
  <c r="E7" i="1"/>
  <c r="J90" i="2" l="1"/>
  <c r="D48" i="2"/>
  <c r="E144" i="1"/>
  <c r="F141" i="1" s="1"/>
  <c r="I11" i="1"/>
  <c r="H15" i="1"/>
  <c r="D4" i="3"/>
  <c r="F12" i="1"/>
  <c r="I14" i="1"/>
  <c r="F7" i="1"/>
  <c r="E10" i="1"/>
  <c r="F11" i="1"/>
  <c r="I12" i="1"/>
  <c r="F15" i="1"/>
  <c r="E24" i="1"/>
  <c r="I24" i="1"/>
  <c r="D80" i="6"/>
  <c r="I9" i="7"/>
  <c r="E48" i="2"/>
  <c r="K71" i="1"/>
  <c r="F6" i="1"/>
  <c r="H7" i="1"/>
  <c r="H8" i="1"/>
  <c r="H13" i="1"/>
  <c r="E15" i="1"/>
  <c r="I66" i="6"/>
  <c r="I68" i="6" s="1"/>
  <c r="I73" i="6" s="1"/>
  <c r="I6" i="1"/>
  <c r="I7" i="1"/>
  <c r="L7" i="1" s="1"/>
  <c r="M7" i="1" s="1"/>
  <c r="I8" i="1"/>
  <c r="H10" i="1"/>
  <c r="H11" i="1"/>
  <c r="E14" i="1"/>
  <c r="E20" i="1"/>
  <c r="H53" i="2"/>
  <c r="K85" i="1"/>
  <c r="I65" i="2" s="1"/>
  <c r="G13" i="1"/>
  <c r="G14" i="1"/>
  <c r="G82" i="1"/>
  <c r="E62" i="2" s="1"/>
  <c r="L85" i="1"/>
  <c r="J65" i="2" s="1"/>
  <c r="F144" i="1"/>
  <c r="G141" i="1" s="1"/>
  <c r="H152" i="1"/>
  <c r="K78" i="1"/>
  <c r="L78" i="1" s="1"/>
  <c r="J58" i="2" s="1"/>
  <c r="H82" i="1"/>
  <c r="H87" i="1" s="1"/>
  <c r="F67" i="2" s="1"/>
  <c r="K122" i="1"/>
  <c r="L122" i="1" s="1"/>
  <c r="J87" i="2" s="1"/>
  <c r="E138" i="1"/>
  <c r="E139" i="1" s="1"/>
  <c r="I138" i="1"/>
  <c r="H15" i="6"/>
  <c r="F15" i="6"/>
  <c r="F7" i="6" s="1"/>
  <c r="G81" i="2"/>
  <c r="G15" i="6"/>
  <c r="D84" i="6"/>
  <c r="D18" i="3"/>
  <c r="D38" i="3" s="1"/>
  <c r="L92" i="6"/>
  <c r="H9" i="6"/>
  <c r="D83" i="6"/>
  <c r="G9" i="6"/>
  <c r="G35" i="6"/>
  <c r="I54" i="2"/>
  <c r="K104" i="1"/>
  <c r="L74" i="1"/>
  <c r="L104" i="1" s="1"/>
  <c r="C39" i="2"/>
  <c r="E66" i="1"/>
  <c r="I53" i="2"/>
  <c r="L73" i="1"/>
  <c r="M73" i="1" s="1"/>
  <c r="N73" i="1" s="1"/>
  <c r="F37" i="1"/>
  <c r="D11" i="2" s="1"/>
  <c r="H38" i="2"/>
  <c r="J104" i="1"/>
  <c r="N7" i="1"/>
  <c r="G24" i="1"/>
  <c r="K64" i="1"/>
  <c r="L64" i="1" s="1"/>
  <c r="H66" i="1"/>
  <c r="F46" i="2" s="1"/>
  <c r="K77" i="1"/>
  <c r="K103" i="1" s="1"/>
  <c r="K114" i="1"/>
  <c r="K116" i="1" s="1"/>
  <c r="I95" i="2" s="1"/>
  <c r="M142" i="1"/>
  <c r="G39" i="2"/>
  <c r="H37" i="6" s="1"/>
  <c r="H78" i="2"/>
  <c r="J103" i="1"/>
  <c r="H12" i="6"/>
  <c r="H11" i="6"/>
  <c r="K61" i="1"/>
  <c r="K96" i="1"/>
  <c r="I78" i="2" s="1"/>
  <c r="K125" i="1"/>
  <c r="L125" i="1" s="1"/>
  <c r="C48" i="2"/>
  <c r="G12" i="6"/>
  <c r="H24" i="1"/>
  <c r="E4" i="3"/>
  <c r="K58" i="1"/>
  <c r="H138" i="1"/>
  <c r="F138" i="1"/>
  <c r="F149" i="1"/>
  <c r="E152" i="1" s="1"/>
  <c r="E153" i="1" s="1"/>
  <c r="E37" i="2"/>
  <c r="F12" i="6"/>
  <c r="F6" i="6" s="1"/>
  <c r="H35" i="6"/>
  <c r="M102" i="1"/>
  <c r="N102" i="1" s="1"/>
  <c r="M105" i="1"/>
  <c r="N105" i="1" s="1"/>
  <c r="E76" i="2"/>
  <c r="E74" i="2"/>
  <c r="E18" i="2"/>
  <c r="E16" i="2"/>
  <c r="E14" i="2"/>
  <c r="G35" i="2"/>
  <c r="F62" i="2"/>
  <c r="D80" i="2"/>
  <c r="D81" i="2" s="1"/>
  <c r="F126" i="1"/>
  <c r="G144" i="1"/>
  <c r="H141" i="1" s="1"/>
  <c r="H144" i="1" s="1"/>
  <c r="I141" i="1" s="1"/>
  <c r="I144" i="1" s="1"/>
  <c r="J141" i="1" s="1"/>
  <c r="H61" i="2"/>
  <c r="I51" i="2"/>
  <c r="L71" i="1"/>
  <c r="F4" i="3"/>
  <c r="G15" i="1"/>
  <c r="G12" i="1"/>
  <c r="G8" i="1"/>
  <c r="G7" i="1"/>
  <c r="H6" i="1"/>
  <c r="G37" i="1"/>
  <c r="G11" i="1"/>
  <c r="G6" i="1"/>
  <c r="G20" i="1"/>
  <c r="G10" i="1"/>
  <c r="E39" i="2"/>
  <c r="F37" i="6" s="1"/>
  <c r="G66" i="1"/>
  <c r="C55" i="2"/>
  <c r="E82" i="1"/>
  <c r="G55" i="2"/>
  <c r="I82" i="1"/>
  <c r="J82" i="2"/>
  <c r="K36" i="6" s="1"/>
  <c r="H86" i="2"/>
  <c r="K121" i="1"/>
  <c r="G14" i="2"/>
  <c r="G18" i="2"/>
  <c r="I126" i="1"/>
  <c r="H33" i="2"/>
  <c r="J33" i="2"/>
  <c r="C46" i="2"/>
  <c r="I61" i="2"/>
  <c r="L81" i="1"/>
  <c r="I63" i="2"/>
  <c r="G152" i="1"/>
  <c r="G153" i="1" s="1"/>
  <c r="G4" i="3"/>
  <c r="F8" i="2"/>
  <c r="G11" i="6" s="1"/>
  <c r="H37" i="1"/>
  <c r="H14" i="1"/>
  <c r="D39" i="2"/>
  <c r="F66" i="1"/>
  <c r="H45" i="2"/>
  <c r="D55" i="2"/>
  <c r="F82" i="1"/>
  <c r="K90" i="2"/>
  <c r="I93" i="2"/>
  <c r="L114" i="1"/>
  <c r="L116" i="1" s="1"/>
  <c r="J95" i="2" s="1"/>
  <c r="H20" i="1"/>
  <c r="E37" i="1"/>
  <c r="C8" i="2"/>
  <c r="C83" i="2" s="1"/>
  <c r="E13" i="1"/>
  <c r="H4" i="3"/>
  <c r="I37" i="1"/>
  <c r="J33" i="1"/>
  <c r="H76" i="2" s="1"/>
  <c r="I13" i="1"/>
  <c r="F41" i="1"/>
  <c r="F18" i="1" s="1"/>
  <c r="K65" i="1"/>
  <c r="K100" i="1" s="1"/>
  <c r="G46" i="2"/>
  <c r="H52" i="2"/>
  <c r="K72" i="1"/>
  <c r="K80" i="1"/>
  <c r="E19" i="3"/>
  <c r="D66" i="2"/>
  <c r="J124" i="1"/>
  <c r="H89" i="2" s="1"/>
  <c r="H88" i="2"/>
  <c r="K123" i="1"/>
  <c r="G16" i="2"/>
  <c r="I44" i="2"/>
  <c r="J54" i="2"/>
  <c r="M74" i="1"/>
  <c r="M104" i="1" s="1"/>
  <c r="H63" i="2"/>
  <c r="E66" i="2"/>
  <c r="F19" i="3"/>
  <c r="F26" i="3"/>
  <c r="D9" i="3"/>
  <c r="D11" i="3" s="1"/>
  <c r="C80" i="2"/>
  <c r="C81" i="2" s="1"/>
  <c r="E126" i="1"/>
  <c r="I82" i="2"/>
  <c r="J36" i="6" s="1"/>
  <c r="K142" i="1"/>
  <c r="G126" i="1"/>
  <c r="I152" i="1"/>
  <c r="I153" i="1" s="1"/>
  <c r="J153" i="1"/>
  <c r="F48" i="2"/>
  <c r="E26" i="3"/>
  <c r="G26" i="3"/>
  <c r="F66" i="2"/>
  <c r="K94" i="1"/>
  <c r="E81" i="2"/>
  <c r="I90" i="2"/>
  <c r="I87" i="2"/>
  <c r="E35" i="2"/>
  <c r="C37" i="2"/>
  <c r="G37" i="2"/>
  <c r="H54" i="2"/>
  <c r="K99" i="1"/>
  <c r="I38" i="2"/>
  <c r="D26" i="3"/>
  <c r="D19" i="3"/>
  <c r="C66" i="2"/>
  <c r="H26" i="3"/>
  <c r="H19" i="3"/>
  <c r="F80" i="2"/>
  <c r="F81" i="2" s="1"/>
  <c r="H126" i="1"/>
  <c r="H82" i="2"/>
  <c r="I36" i="6" s="1"/>
  <c r="J142" i="1"/>
  <c r="L82" i="2"/>
  <c r="M36" i="6" s="1"/>
  <c r="N142" i="1"/>
  <c r="I96" i="2"/>
  <c r="G138" i="1"/>
  <c r="H153" i="1"/>
  <c r="D8" i="2"/>
  <c r="E9" i="2" s="1"/>
  <c r="G66" i="2"/>
  <c r="G76" i="2"/>
  <c r="E83" i="2"/>
  <c r="G19" i="3"/>
  <c r="H90" i="2"/>
  <c r="L90" i="2"/>
  <c r="J116" i="1"/>
  <c r="H95" i="2" s="1"/>
  <c r="D37" i="2"/>
  <c r="G74" i="2"/>
  <c r="J44" i="2" l="1"/>
  <c r="M64" i="1"/>
  <c r="K44" i="2" s="1"/>
  <c r="M122" i="1"/>
  <c r="K87" i="2" s="1"/>
  <c r="F152" i="1"/>
  <c r="F153" i="1" s="1"/>
  <c r="G139" i="1"/>
  <c r="M85" i="1"/>
  <c r="C74" i="2"/>
  <c r="F139" i="1"/>
  <c r="M125" i="1"/>
  <c r="K96" i="2" s="1"/>
  <c r="F83" i="2"/>
  <c r="F18" i="2"/>
  <c r="I139" i="1"/>
  <c r="I57" i="2"/>
  <c r="N122" i="1"/>
  <c r="L87" i="2" s="1"/>
  <c r="M78" i="1"/>
  <c r="K58" i="2" s="1"/>
  <c r="J96" i="2"/>
  <c r="C76" i="2"/>
  <c r="G87" i="1"/>
  <c r="E67" i="2" s="1"/>
  <c r="I58" i="2"/>
  <c r="D35" i="2"/>
  <c r="D85" i="6"/>
  <c r="D86" i="6" s="1"/>
  <c r="D87" i="6" s="1"/>
  <c r="F13" i="6"/>
  <c r="F19" i="6" s="1"/>
  <c r="F32" i="6" s="1"/>
  <c r="F34" i="6" s="1"/>
  <c r="F38" i="6" s="1"/>
  <c r="G13" i="6"/>
  <c r="G19" i="6" s="1"/>
  <c r="G32" i="6" s="1"/>
  <c r="G34" i="6" s="1"/>
  <c r="G38" i="6" s="1"/>
  <c r="G6" i="6"/>
  <c r="I41" i="2"/>
  <c r="L61" i="1"/>
  <c r="G7" i="6"/>
  <c r="D12" i="2"/>
  <c r="H5" i="6"/>
  <c r="H13" i="6"/>
  <c r="H19" i="6" s="1"/>
  <c r="F14" i="2"/>
  <c r="K124" i="1"/>
  <c r="I89" i="2" s="1"/>
  <c r="F16" i="2"/>
  <c r="G9" i="2"/>
  <c r="I10" i="7" s="1"/>
  <c r="G5" i="6"/>
  <c r="L58" i="1"/>
  <c r="M58" i="1" s="1"/>
  <c r="L77" i="1"/>
  <c r="H6" i="6"/>
  <c r="L96" i="1"/>
  <c r="D74" i="2"/>
  <c r="N64" i="1"/>
  <c r="L44" i="2" s="1"/>
  <c r="D18" i="2"/>
  <c r="L121" i="1"/>
  <c r="J86" i="2" s="1"/>
  <c r="H7" i="6"/>
  <c r="J53" i="2"/>
  <c r="F97" i="2"/>
  <c r="H128" i="1"/>
  <c r="I75" i="2"/>
  <c r="L94" i="1"/>
  <c r="L72" i="1"/>
  <c r="I52" i="2"/>
  <c r="I45" i="2"/>
  <c r="L65" i="1"/>
  <c r="L100" i="1" s="1"/>
  <c r="H139" i="1"/>
  <c r="K54" i="2"/>
  <c r="N74" i="1"/>
  <c r="N104" i="1" s="1"/>
  <c r="J40" i="1"/>
  <c r="H8" i="2"/>
  <c r="J39" i="1"/>
  <c r="J36" i="1"/>
  <c r="J24" i="1"/>
  <c r="H83" i="2" s="1"/>
  <c r="K33" i="1"/>
  <c r="I76" i="2" s="1"/>
  <c r="J56" i="1"/>
  <c r="J38" i="1"/>
  <c r="J35" i="1"/>
  <c r="J34" i="1"/>
  <c r="J32" i="1"/>
  <c r="J31" i="1"/>
  <c r="H88" i="1"/>
  <c r="F68" i="2" s="1"/>
  <c r="F11" i="2"/>
  <c r="F12" i="2" s="1"/>
  <c r="H41" i="1"/>
  <c r="H18" i="1" s="1"/>
  <c r="D14" i="2"/>
  <c r="J63" i="2"/>
  <c r="C18" i="2"/>
  <c r="E11" i="2"/>
  <c r="E12" i="2" s="1"/>
  <c r="G41" i="1"/>
  <c r="G18" i="1" s="1"/>
  <c r="D97" i="2"/>
  <c r="F128" i="1"/>
  <c r="J154" i="1"/>
  <c r="K149" i="1"/>
  <c r="K153" i="1" s="1"/>
  <c r="K147" i="1"/>
  <c r="J76" i="1" s="1"/>
  <c r="H56" i="2" s="1"/>
  <c r="E18" i="3" s="1"/>
  <c r="E38" i="3" s="1"/>
  <c r="E87" i="1"/>
  <c r="C62" i="2"/>
  <c r="M71" i="1"/>
  <c r="J51" i="2"/>
  <c r="D83" i="2"/>
  <c r="D9" i="2"/>
  <c r="D16" i="2"/>
  <c r="D76" i="2"/>
  <c r="D30" i="3"/>
  <c r="E97" i="2"/>
  <c r="G128" i="1"/>
  <c r="E128" i="1"/>
  <c r="C97" i="2"/>
  <c r="C16" i="2"/>
  <c r="I41" i="1"/>
  <c r="I18" i="1" s="1"/>
  <c r="G11" i="2"/>
  <c r="G12" i="2" s="1"/>
  <c r="C11" i="2"/>
  <c r="C12" i="2" s="1"/>
  <c r="E41" i="1"/>
  <c r="E18" i="1" s="1"/>
  <c r="D62" i="2"/>
  <c r="F87" i="1"/>
  <c r="D67" i="2" s="1"/>
  <c r="D46" i="2"/>
  <c r="F35" i="2"/>
  <c r="F9" i="2"/>
  <c r="F76" i="2"/>
  <c r="F74" i="2"/>
  <c r="G62" i="2"/>
  <c r="I87" i="1"/>
  <c r="E46" i="2"/>
  <c r="G88" i="1"/>
  <c r="E68" i="2" s="1"/>
  <c r="I33" i="2"/>
  <c r="N78" i="1"/>
  <c r="L58" i="2" s="1"/>
  <c r="C35" i="2"/>
  <c r="I88" i="2"/>
  <c r="L123" i="1"/>
  <c r="I60" i="2"/>
  <c r="L80" i="1"/>
  <c r="E15" i="3"/>
  <c r="E5" i="3"/>
  <c r="E9" i="3"/>
  <c r="E11" i="3" s="1"/>
  <c r="E12" i="3" s="1"/>
  <c r="D19" i="2"/>
  <c r="D20" i="2" s="1"/>
  <c r="F43" i="1"/>
  <c r="J93" i="2"/>
  <c r="M114" i="1"/>
  <c r="J61" i="2"/>
  <c r="M81" i="1"/>
  <c r="K33" i="2"/>
  <c r="G97" i="2"/>
  <c r="I128" i="1"/>
  <c r="C14" i="2"/>
  <c r="I86" i="2"/>
  <c r="J143" i="1"/>
  <c r="J93" i="1" s="1"/>
  <c r="K65" i="2" l="1"/>
  <c r="N85" i="1"/>
  <c r="L65" i="2" s="1"/>
  <c r="I11" i="6"/>
  <c r="I5" i="6" s="1"/>
  <c r="J9" i="7"/>
  <c r="N125" i="1"/>
  <c r="L96" i="2" s="1"/>
  <c r="D81" i="6"/>
  <c r="E30" i="3"/>
  <c r="G16" i="6"/>
  <c r="F16" i="6"/>
  <c r="J78" i="2"/>
  <c r="M96" i="1"/>
  <c r="K78" i="2" s="1"/>
  <c r="K38" i="2"/>
  <c r="M99" i="1"/>
  <c r="J12" i="1"/>
  <c r="N58" i="1"/>
  <c r="L103" i="1"/>
  <c r="M77" i="1"/>
  <c r="N77" i="1" s="1"/>
  <c r="J57" i="2"/>
  <c r="J38" i="2"/>
  <c r="L99" i="1"/>
  <c r="H32" i="6"/>
  <c r="H34" i="6" s="1"/>
  <c r="H38" i="6" s="1"/>
  <c r="H16" i="6"/>
  <c r="J41" i="2"/>
  <c r="M61" i="1"/>
  <c r="M121" i="1"/>
  <c r="L53" i="2"/>
  <c r="K53" i="2"/>
  <c r="J144" i="1"/>
  <c r="J60" i="1" s="1"/>
  <c r="H40" i="2" s="1"/>
  <c r="K93" i="2"/>
  <c r="N114" i="1"/>
  <c r="M116" i="1"/>
  <c r="K95" i="2" s="1"/>
  <c r="G67" i="2"/>
  <c r="I88" i="1"/>
  <c r="G68" i="2" s="1"/>
  <c r="K63" i="2"/>
  <c r="J135" i="1"/>
  <c r="J97" i="1"/>
  <c r="H34" i="2"/>
  <c r="J75" i="2"/>
  <c r="M94" i="1"/>
  <c r="D99" i="2"/>
  <c r="E20" i="3"/>
  <c r="F129" i="1"/>
  <c r="D100" i="2" s="1"/>
  <c r="L33" i="2"/>
  <c r="J68" i="1"/>
  <c r="J101" i="1" s="1"/>
  <c r="H10" i="2"/>
  <c r="I12" i="6" s="1"/>
  <c r="J57" i="1"/>
  <c r="K61" i="2"/>
  <c r="N81" i="1"/>
  <c r="L61" i="2" s="1"/>
  <c r="M123" i="1"/>
  <c r="J88" i="2"/>
  <c r="H9" i="3"/>
  <c r="H11" i="3" s="1"/>
  <c r="H15" i="3"/>
  <c r="G19" i="2"/>
  <c r="I43" i="1"/>
  <c r="H5" i="3"/>
  <c r="D20" i="3"/>
  <c r="C99" i="2"/>
  <c r="E129" i="1"/>
  <c r="C100" i="2" s="1"/>
  <c r="C67" i="2"/>
  <c r="E88" i="1"/>
  <c r="C68" i="2" s="1"/>
  <c r="L124" i="1"/>
  <c r="J89" i="2" s="1"/>
  <c r="I8" i="2"/>
  <c r="K39" i="1"/>
  <c r="K36" i="1"/>
  <c r="K37" i="1" s="1"/>
  <c r="K38" i="1"/>
  <c r="K56" i="1"/>
  <c r="K40" i="1"/>
  <c r="K35" i="1"/>
  <c r="K34" i="1"/>
  <c r="K32" i="1"/>
  <c r="K31" i="1"/>
  <c r="K24" i="1"/>
  <c r="I83" i="2" s="1"/>
  <c r="L33" i="1"/>
  <c r="J76" i="2" s="1"/>
  <c r="H15" i="2"/>
  <c r="H16" i="2"/>
  <c r="L54" i="2"/>
  <c r="H20" i="3"/>
  <c r="G99" i="2"/>
  <c r="J127" i="1"/>
  <c r="I129" i="1"/>
  <c r="G100" i="2" s="1"/>
  <c r="F45" i="1"/>
  <c r="F17" i="1"/>
  <c r="E16" i="3" s="1"/>
  <c r="E17" i="3" s="1"/>
  <c r="D22" i="2"/>
  <c r="D24" i="2" s="1"/>
  <c r="F88" i="1"/>
  <c r="D68" i="2" s="1"/>
  <c r="D15" i="3"/>
  <c r="D5" i="3"/>
  <c r="E43" i="1"/>
  <c r="C19" i="2"/>
  <c r="C20" i="2" s="1"/>
  <c r="E99" i="2"/>
  <c r="F20" i="3"/>
  <c r="G129" i="1"/>
  <c r="E100" i="2" s="1"/>
  <c r="J37" i="1"/>
  <c r="H73" i="2"/>
  <c r="I18" i="6" s="1"/>
  <c r="H74" i="2"/>
  <c r="J60" i="2"/>
  <c r="M80" i="1"/>
  <c r="K51" i="2"/>
  <c r="N71" i="1"/>
  <c r="L51" i="2" s="1"/>
  <c r="L147" i="1"/>
  <c r="K76" i="1" s="1"/>
  <c r="I56" i="2" s="1"/>
  <c r="F18" i="3" s="1"/>
  <c r="K154" i="1"/>
  <c r="L149" i="1"/>
  <c r="L153" i="1" s="1"/>
  <c r="F5" i="3"/>
  <c r="F9" i="3"/>
  <c r="F11" i="3" s="1"/>
  <c r="F12" i="3" s="1"/>
  <c r="E19" i="2"/>
  <c r="E20" i="2" s="1"/>
  <c r="F15" i="3"/>
  <c r="G43" i="1"/>
  <c r="G9" i="3"/>
  <c r="G11" i="3" s="1"/>
  <c r="G12" i="3" s="1"/>
  <c r="G5" i="3"/>
  <c r="G15" i="3"/>
  <c r="F19" i="2"/>
  <c r="F20" i="2" s="1"/>
  <c r="H43" i="1"/>
  <c r="H13" i="2"/>
  <c r="H14" i="2"/>
  <c r="H17" i="2"/>
  <c r="H18" i="2"/>
  <c r="J45" i="2"/>
  <c r="M65" i="1"/>
  <c r="M100" i="1" s="1"/>
  <c r="J52" i="2"/>
  <c r="M72" i="1"/>
  <c r="F99" i="2"/>
  <c r="G20" i="3"/>
  <c r="H129" i="1"/>
  <c r="F100" i="2" s="1"/>
  <c r="K141" i="1" l="1"/>
  <c r="G20" i="2"/>
  <c r="I12" i="7" s="1"/>
  <c r="I11" i="7"/>
  <c r="J11" i="6"/>
  <c r="J5" i="6" s="1"/>
  <c r="K9" i="7"/>
  <c r="N96" i="1"/>
  <c r="L78" i="2" s="1"/>
  <c r="F38" i="3"/>
  <c r="F30" i="3"/>
  <c r="N103" i="1"/>
  <c r="L57" i="2"/>
  <c r="I15" i="6"/>
  <c r="I7" i="6" s="1"/>
  <c r="I35" i="6"/>
  <c r="I9" i="6"/>
  <c r="H12" i="3"/>
  <c r="N121" i="1"/>
  <c r="L86" i="2" s="1"/>
  <c r="K86" i="2"/>
  <c r="L38" i="2"/>
  <c r="N99" i="1"/>
  <c r="I13" i="6"/>
  <c r="I6" i="6"/>
  <c r="N61" i="1"/>
  <c r="L41" i="2" s="1"/>
  <c r="K41" i="2"/>
  <c r="M103" i="1"/>
  <c r="K57" i="2"/>
  <c r="M149" i="1"/>
  <c r="M153" i="1" s="1"/>
  <c r="L154" i="1"/>
  <c r="M147" i="1"/>
  <c r="L76" i="1" s="1"/>
  <c r="J56" i="2" s="1"/>
  <c r="G18" i="3" s="1"/>
  <c r="G21" i="3" s="1"/>
  <c r="I17" i="2"/>
  <c r="I18" i="2"/>
  <c r="N72" i="1"/>
  <c r="L52" i="2" s="1"/>
  <c r="K52" i="2"/>
  <c r="K60" i="2"/>
  <c r="N80" i="1"/>
  <c r="L60" i="2" s="1"/>
  <c r="F39" i="3"/>
  <c r="F21" i="3"/>
  <c r="H98" i="2"/>
  <c r="I11" i="2"/>
  <c r="K41" i="1"/>
  <c r="K42" i="1" s="1"/>
  <c r="I21" i="2" s="1"/>
  <c r="I12" i="2"/>
  <c r="I34" i="2"/>
  <c r="K135" i="1"/>
  <c r="K97" i="1"/>
  <c r="G22" i="2"/>
  <c r="G24" i="2" s="1"/>
  <c r="I45" i="1"/>
  <c r="I17" i="1"/>
  <c r="H21" i="6" s="1"/>
  <c r="H36" i="2"/>
  <c r="J136" i="1"/>
  <c r="J98" i="1"/>
  <c r="K143" i="1"/>
  <c r="K93" i="1" s="1"/>
  <c r="F22" i="2"/>
  <c r="F24" i="2" s="1"/>
  <c r="H45" i="1"/>
  <c r="H17" i="1"/>
  <c r="G21" i="6" s="1"/>
  <c r="C22" i="2"/>
  <c r="C24" i="2" s="1"/>
  <c r="E45" i="1"/>
  <c r="E17" i="1"/>
  <c r="D16" i="3" s="1"/>
  <c r="D17" i="3" s="1"/>
  <c r="J8" i="2"/>
  <c r="L38" i="1"/>
  <c r="L56" i="1"/>
  <c r="L35" i="1"/>
  <c r="L32" i="1"/>
  <c r="L36" i="1"/>
  <c r="L37" i="1" s="1"/>
  <c r="L39" i="1"/>
  <c r="M33" i="1"/>
  <c r="K76" i="2" s="1"/>
  <c r="L34" i="1"/>
  <c r="L31" i="1"/>
  <c r="L40" i="1"/>
  <c r="L24" i="1"/>
  <c r="J83" i="2" s="1"/>
  <c r="I15" i="2"/>
  <c r="I16" i="2"/>
  <c r="E39" i="3"/>
  <c r="E40" i="3" s="1"/>
  <c r="E31" i="3" s="1"/>
  <c r="E21" i="3"/>
  <c r="E22" i="3" s="1"/>
  <c r="L63" i="2"/>
  <c r="K12" i="1"/>
  <c r="I13" i="2"/>
  <c r="I14" i="2"/>
  <c r="K88" i="2"/>
  <c r="N123" i="1"/>
  <c r="M124" i="1"/>
  <c r="K89" i="2" s="1"/>
  <c r="K75" i="2"/>
  <c r="N94" i="1"/>
  <c r="H79" i="2"/>
  <c r="L93" i="2"/>
  <c r="N116" i="1"/>
  <c r="L95" i="2" s="1"/>
  <c r="G39" i="3"/>
  <c r="N65" i="1"/>
  <c r="N100" i="1" s="1"/>
  <c r="K45" i="2"/>
  <c r="E22" i="2"/>
  <c r="E24" i="2" s="1"/>
  <c r="G45" i="1"/>
  <c r="G17" i="1"/>
  <c r="F21" i="6" s="1"/>
  <c r="H11" i="2"/>
  <c r="H12" i="2"/>
  <c r="J41" i="1"/>
  <c r="J42" i="1" s="1"/>
  <c r="H21" i="2" s="1"/>
  <c r="E25" i="3"/>
  <c r="E27" i="3" s="1"/>
  <c r="E6" i="3"/>
  <c r="D25" i="2"/>
  <c r="D26" i="2" s="1"/>
  <c r="H39" i="3"/>
  <c r="I10" i="2"/>
  <c r="J12" i="6" s="1"/>
  <c r="K57" i="1"/>
  <c r="K68" i="1"/>
  <c r="K101" i="1" s="1"/>
  <c r="D39" i="3"/>
  <c r="D40" i="3" s="1"/>
  <c r="D31" i="3" s="1"/>
  <c r="D21" i="3"/>
  <c r="H47" i="2"/>
  <c r="J137" i="1"/>
  <c r="J138" i="1" s="1"/>
  <c r="J139" i="1" s="1"/>
  <c r="J75" i="1"/>
  <c r="F40" i="3" l="1"/>
  <c r="F31" i="3" s="1"/>
  <c r="J6" i="6"/>
  <c r="K11" i="6"/>
  <c r="K5" i="6" s="1"/>
  <c r="L9" i="7"/>
  <c r="L12" i="1"/>
  <c r="G38" i="3"/>
  <c r="G40" i="3" s="1"/>
  <c r="G31" i="3" s="1"/>
  <c r="G30" i="3"/>
  <c r="I19" i="6"/>
  <c r="I16" i="6" s="1"/>
  <c r="J15" i="6"/>
  <c r="J7" i="6" s="1"/>
  <c r="J13" i="6"/>
  <c r="D22" i="3"/>
  <c r="I47" i="2"/>
  <c r="K75" i="1"/>
  <c r="K137" i="1"/>
  <c r="H20" i="2"/>
  <c r="J12" i="7" s="1"/>
  <c r="J43" i="1"/>
  <c r="H19" i="2"/>
  <c r="J11" i="7" s="1"/>
  <c r="F25" i="3"/>
  <c r="F27" i="3" s="1"/>
  <c r="E25" i="2"/>
  <c r="E26" i="2" s="1"/>
  <c r="F6" i="3"/>
  <c r="L45" i="2"/>
  <c r="J16" i="2"/>
  <c r="J15" i="2"/>
  <c r="L41" i="1"/>
  <c r="L42" i="1" s="1"/>
  <c r="J21" i="2" s="1"/>
  <c r="J12" i="2"/>
  <c r="J11" i="2"/>
  <c r="I73" i="2"/>
  <c r="J18" i="6" s="1"/>
  <c r="I74" i="2"/>
  <c r="I19" i="2"/>
  <c r="K11" i="7" s="1"/>
  <c r="K43" i="1"/>
  <c r="I20" i="2"/>
  <c r="K12" i="7" s="1"/>
  <c r="H55" i="2"/>
  <c r="J82" i="1"/>
  <c r="K136" i="1"/>
  <c r="I36" i="2"/>
  <c r="K98" i="1"/>
  <c r="I79" i="2" s="1"/>
  <c r="J10" i="2"/>
  <c r="K12" i="6" s="1"/>
  <c r="L57" i="1"/>
  <c r="L68" i="1"/>
  <c r="L101" i="1" s="1"/>
  <c r="J34" i="2"/>
  <c r="L97" i="1"/>
  <c r="L135" i="1"/>
  <c r="D25" i="3"/>
  <c r="D27" i="3" s="1"/>
  <c r="D6" i="3"/>
  <c r="C25" i="2"/>
  <c r="C26" i="2" s="1"/>
  <c r="G16" i="3"/>
  <c r="G17" i="3" s="1"/>
  <c r="G22" i="3" s="1"/>
  <c r="K144" i="1"/>
  <c r="H16" i="3"/>
  <c r="H17" i="3" s="1"/>
  <c r="L75" i="2"/>
  <c r="L88" i="2"/>
  <c r="N124" i="1"/>
  <c r="L89" i="2" s="1"/>
  <c r="J14" i="2"/>
  <c r="J13" i="2"/>
  <c r="G25" i="3"/>
  <c r="G27" i="3" s="1"/>
  <c r="G6" i="3"/>
  <c r="F25" i="2"/>
  <c r="F26" i="2" s="1"/>
  <c r="H25" i="3"/>
  <c r="H27" i="3" s="1"/>
  <c r="E18" i="7" s="1"/>
  <c r="H6" i="3"/>
  <c r="G25" i="2"/>
  <c r="G26" i="2" s="1"/>
  <c r="F16" i="3"/>
  <c r="F17" i="3" s="1"/>
  <c r="F22" i="3" s="1"/>
  <c r="J17" i="1"/>
  <c r="I21" i="6" s="1"/>
  <c r="J18" i="2"/>
  <c r="J17" i="2"/>
  <c r="M56" i="1"/>
  <c r="M40" i="1"/>
  <c r="M34" i="1"/>
  <c r="N33" i="1"/>
  <c r="M31" i="1"/>
  <c r="M38" i="1"/>
  <c r="K8" i="2"/>
  <c r="L11" i="6" s="1"/>
  <c r="M39" i="1"/>
  <c r="M24" i="1"/>
  <c r="K83" i="2" s="1"/>
  <c r="M35" i="1"/>
  <c r="M32" i="1"/>
  <c r="M36" i="1"/>
  <c r="N147" i="1"/>
  <c r="M76" i="1" s="1"/>
  <c r="K56" i="2" s="1"/>
  <c r="H18" i="3" s="1"/>
  <c r="M154" i="1"/>
  <c r="N149" i="1"/>
  <c r="N153" i="1" s="1"/>
  <c r="N154" i="1" s="1"/>
  <c r="K6" i="6" l="1"/>
  <c r="J44" i="1"/>
  <c r="H38" i="3"/>
  <c r="H40" i="3" s="1"/>
  <c r="H31" i="3" s="1"/>
  <c r="E20" i="7" s="1"/>
  <c r="H30" i="3"/>
  <c r="H21" i="3"/>
  <c r="H22" i="3" s="1"/>
  <c r="E16" i="7" s="1"/>
  <c r="I32" i="6"/>
  <c r="J19" i="6"/>
  <c r="J16" i="6" s="1"/>
  <c r="L5" i="6"/>
  <c r="K17" i="1"/>
  <c r="J21" i="6" s="1"/>
  <c r="J35" i="6"/>
  <c r="J9" i="6"/>
  <c r="K15" i="6"/>
  <c r="K7" i="6" s="1"/>
  <c r="K138" i="1"/>
  <c r="K139" i="1" s="1"/>
  <c r="K13" i="6"/>
  <c r="K16" i="2"/>
  <c r="K15" i="2"/>
  <c r="N40" i="1"/>
  <c r="N39" i="1"/>
  <c r="N36" i="1"/>
  <c r="N37" i="1" s="1"/>
  <c r="N24" i="1"/>
  <c r="L83" i="2" s="1"/>
  <c r="L8" i="2"/>
  <c r="M11" i="6" s="1"/>
  <c r="N35" i="1"/>
  <c r="N34" i="1"/>
  <c r="N32" i="1"/>
  <c r="N31" i="1"/>
  <c r="N56" i="1"/>
  <c r="N38" i="1"/>
  <c r="K34" i="2"/>
  <c r="M135" i="1"/>
  <c r="M97" i="1"/>
  <c r="L141" i="1"/>
  <c r="K60" i="1"/>
  <c r="I40" i="2" s="1"/>
  <c r="L75" i="1"/>
  <c r="J47" i="2"/>
  <c r="L137" i="1"/>
  <c r="L43" i="1"/>
  <c r="J20" i="2"/>
  <c r="L12" i="7" s="1"/>
  <c r="J19" i="2"/>
  <c r="L11" i="7" s="1"/>
  <c r="I55" i="2"/>
  <c r="K82" i="1"/>
  <c r="M12" i="1"/>
  <c r="K14" i="2"/>
  <c r="K13" i="2"/>
  <c r="K18" i="2"/>
  <c r="K17" i="2"/>
  <c r="L17" i="1"/>
  <c r="K21" i="6" s="1"/>
  <c r="J36" i="2"/>
  <c r="L98" i="1"/>
  <c r="J79" i="2" s="1"/>
  <c r="L136" i="1"/>
  <c r="I22" i="2"/>
  <c r="H22" i="2"/>
  <c r="K10" i="2"/>
  <c r="L12" i="6" s="1"/>
  <c r="L6" i="6" s="1"/>
  <c r="M68" i="1"/>
  <c r="M101" i="1" s="1"/>
  <c r="M57" i="1"/>
  <c r="M37" i="1"/>
  <c r="L76" i="2"/>
  <c r="H62" i="2"/>
  <c r="N12" i="1" l="1"/>
  <c r="K44" i="1"/>
  <c r="K45" i="1" s="1"/>
  <c r="K92" i="1" s="1"/>
  <c r="L44" i="1"/>
  <c r="L138" i="1"/>
  <c r="L139" i="1" s="1"/>
  <c r="L15" i="6"/>
  <c r="L7" i="6" s="1"/>
  <c r="J32" i="6"/>
  <c r="D73" i="6"/>
  <c r="D74" i="6" s="1"/>
  <c r="D61" i="6" s="1"/>
  <c r="K19" i="6"/>
  <c r="K32" i="6" s="1"/>
  <c r="N11" i="6"/>
  <c r="M5" i="6"/>
  <c r="L13" i="6"/>
  <c r="M17" i="1"/>
  <c r="I26" i="2"/>
  <c r="J55" i="2"/>
  <c r="L82" i="1"/>
  <c r="L143" i="1"/>
  <c r="L93" i="1" s="1"/>
  <c r="L14" i="2"/>
  <c r="L13" i="2"/>
  <c r="L18" i="2"/>
  <c r="L17" i="2"/>
  <c r="M137" i="1"/>
  <c r="K47" i="2"/>
  <c r="M75" i="1"/>
  <c r="L16" i="2"/>
  <c r="L15" i="2"/>
  <c r="K12" i="2"/>
  <c r="K11" i="2"/>
  <c r="M41" i="1"/>
  <c r="M42" i="1" s="1"/>
  <c r="K21" i="2" s="1"/>
  <c r="H23" i="2"/>
  <c r="I22" i="6" s="1"/>
  <c r="I33" i="6" s="1"/>
  <c r="I34" i="6" s="1"/>
  <c r="H24" i="2"/>
  <c r="I62" i="2"/>
  <c r="J22" i="2"/>
  <c r="L34" i="2"/>
  <c r="N135" i="1"/>
  <c r="N97" i="1"/>
  <c r="K36" i="2"/>
  <c r="M136" i="1"/>
  <c r="M138" i="1" s="1"/>
  <c r="M98" i="1"/>
  <c r="K79" i="2" s="1"/>
  <c r="J45" i="1"/>
  <c r="I23" i="2"/>
  <c r="J22" i="6" s="1"/>
  <c r="J33" i="6" s="1"/>
  <c r="I24" i="2"/>
  <c r="L12" i="2"/>
  <c r="N41" i="1"/>
  <c r="N42" i="1" s="1"/>
  <c r="L21" i="2" s="1"/>
  <c r="L11" i="2"/>
  <c r="N68" i="1"/>
  <c r="N101" i="1" s="1"/>
  <c r="N57" i="1"/>
  <c r="L10" i="2"/>
  <c r="M12" i="6" s="1"/>
  <c r="I25" i="2" l="1"/>
  <c r="M139" i="1"/>
  <c r="L19" i="6"/>
  <c r="J34" i="6"/>
  <c r="M13" i="6"/>
  <c r="N12" i="6"/>
  <c r="N13" i="6" s="1"/>
  <c r="M6" i="6"/>
  <c r="M15" i="6"/>
  <c r="M7" i="6" s="1"/>
  <c r="N17" i="1"/>
  <c r="M21" i="6" s="1"/>
  <c r="L21" i="6"/>
  <c r="L32" i="6"/>
  <c r="N15" i="6"/>
  <c r="J74" i="2"/>
  <c r="J73" i="2"/>
  <c r="K18" i="6" s="1"/>
  <c r="J24" i="2"/>
  <c r="J23" i="2"/>
  <c r="K22" i="6" s="1"/>
  <c r="K33" i="6" s="1"/>
  <c r="K34" i="6" s="1"/>
  <c r="J62" i="2"/>
  <c r="K106" i="1"/>
  <c r="I72" i="2"/>
  <c r="L47" i="2"/>
  <c r="N137" i="1"/>
  <c r="N75" i="1"/>
  <c r="L19" i="2"/>
  <c r="L20" i="2"/>
  <c r="N43" i="1"/>
  <c r="K20" i="2"/>
  <c r="M43" i="1"/>
  <c r="M44" i="1" s="1"/>
  <c r="K19" i="2"/>
  <c r="L36" i="2"/>
  <c r="N136" i="1"/>
  <c r="N98" i="1"/>
  <c r="L79" i="2" s="1"/>
  <c r="H26" i="2"/>
  <c r="J92" i="1"/>
  <c r="H25" i="2"/>
  <c r="J84" i="1"/>
  <c r="L45" i="1"/>
  <c r="K55" i="2"/>
  <c r="M82" i="1"/>
  <c r="L144" i="1"/>
  <c r="N44" i="1" l="1"/>
  <c r="N19" i="6"/>
  <c r="N32" i="6" s="1"/>
  <c r="K35" i="6"/>
  <c r="K9" i="6"/>
  <c r="K16" i="6"/>
  <c r="N138" i="1"/>
  <c r="N139" i="1" s="1"/>
  <c r="M19" i="6"/>
  <c r="J25" i="2"/>
  <c r="J26" i="2"/>
  <c r="L92" i="1"/>
  <c r="H72" i="2"/>
  <c r="J106" i="1"/>
  <c r="L22" i="2"/>
  <c r="I81" i="2"/>
  <c r="I80" i="2"/>
  <c r="K126" i="1"/>
  <c r="I97" i="2" s="1"/>
  <c r="L60" i="1"/>
  <c r="J40" i="2" s="1"/>
  <c r="M141" i="1"/>
  <c r="K62" i="2"/>
  <c r="H64" i="2"/>
  <c r="K84" i="1"/>
  <c r="J86" i="1"/>
  <c r="K22" i="2"/>
  <c r="M45" i="1"/>
  <c r="N82" i="1"/>
  <c r="L55" i="2"/>
  <c r="N22" i="6" l="1"/>
  <c r="N33" i="6" s="1"/>
  <c r="N34" i="6" s="1"/>
  <c r="M32" i="6"/>
  <c r="M92" i="1"/>
  <c r="K26" i="2"/>
  <c r="K25" i="2"/>
  <c r="L24" i="2"/>
  <c r="L23" i="2"/>
  <c r="M22" i="6" s="1"/>
  <c r="M33" i="6" s="1"/>
  <c r="J72" i="2"/>
  <c r="L106" i="1"/>
  <c r="L62" i="2"/>
  <c r="H66" i="2"/>
  <c r="J87" i="1"/>
  <c r="H67" i="2" s="1"/>
  <c r="N45" i="1"/>
  <c r="K24" i="2"/>
  <c r="K23" i="2"/>
  <c r="L22" i="6" s="1"/>
  <c r="L33" i="6" s="1"/>
  <c r="L34" i="6" s="1"/>
  <c r="I64" i="2"/>
  <c r="L84" i="1"/>
  <c r="K86" i="1"/>
  <c r="M143" i="1"/>
  <c r="M93" i="1" s="1"/>
  <c r="H80" i="2"/>
  <c r="H81" i="2"/>
  <c r="J126" i="1"/>
  <c r="M34" i="6" l="1"/>
  <c r="J64" i="2"/>
  <c r="M84" i="1"/>
  <c r="L86" i="1"/>
  <c r="L26" i="2"/>
  <c r="L25" i="2"/>
  <c r="N92" i="1"/>
  <c r="K74" i="2"/>
  <c r="K73" i="2"/>
  <c r="L18" i="6" s="1"/>
  <c r="J81" i="2"/>
  <c r="J80" i="2"/>
  <c r="L126" i="1"/>
  <c r="J97" i="2" s="1"/>
  <c r="H97" i="2"/>
  <c r="J128" i="1"/>
  <c r="J53" i="1" s="1"/>
  <c r="M144" i="1"/>
  <c r="I66" i="2"/>
  <c r="K87" i="1"/>
  <c r="I67" i="2" s="1"/>
  <c r="K72" i="2"/>
  <c r="M106" i="1"/>
  <c r="L9" i="6" l="1"/>
  <c r="L35" i="6"/>
  <c r="L16" i="6"/>
  <c r="J66" i="2"/>
  <c r="L87" i="1"/>
  <c r="J67" i="2" s="1"/>
  <c r="K80" i="2"/>
  <c r="K81" i="2"/>
  <c r="M126" i="1"/>
  <c r="K97" i="2" s="1"/>
  <c r="N141" i="1"/>
  <c r="M60" i="1"/>
  <c r="K40" i="2" s="1"/>
  <c r="L72" i="2"/>
  <c r="K64" i="2"/>
  <c r="N84" i="1"/>
  <c r="M86" i="1"/>
  <c r="H99" i="2"/>
  <c r="K127" i="1"/>
  <c r="J55" i="1" l="1"/>
  <c r="J59" i="1" s="1"/>
  <c r="H32" i="2"/>
  <c r="K66" i="2"/>
  <c r="M87" i="1"/>
  <c r="K67" i="2" s="1"/>
  <c r="J129" i="1"/>
  <c r="H100" i="2" s="1"/>
  <c r="L64" i="2"/>
  <c r="N86" i="1"/>
  <c r="I98" i="2"/>
  <c r="K128" i="1"/>
  <c r="K53" i="1" s="1"/>
  <c r="N143" i="1"/>
  <c r="N93" i="1" s="1"/>
  <c r="L74" i="2" l="1"/>
  <c r="L73" i="2"/>
  <c r="M18" i="6" s="1"/>
  <c r="N106" i="1"/>
  <c r="L66" i="2"/>
  <c r="N87" i="1"/>
  <c r="L67" i="2" s="1"/>
  <c r="N144" i="1"/>
  <c r="N60" i="1" s="1"/>
  <c r="L40" i="2" s="1"/>
  <c r="I99" i="2"/>
  <c r="K129" i="1"/>
  <c r="I100" i="2" s="1"/>
  <c r="L127" i="1"/>
  <c r="H39" i="2"/>
  <c r="I37" i="6" s="1"/>
  <c r="I38" i="6" s="1"/>
  <c r="I46" i="6" s="1"/>
  <c r="I51" i="6" s="1"/>
  <c r="I53" i="6" s="1"/>
  <c r="J66" i="1"/>
  <c r="M35" i="6" l="1"/>
  <c r="M9" i="6"/>
  <c r="N18" i="6"/>
  <c r="M16" i="6"/>
  <c r="J88" i="1"/>
  <c r="H68" i="2" s="1"/>
  <c r="H46" i="2"/>
  <c r="L80" i="2"/>
  <c r="L81" i="2"/>
  <c r="N126" i="1"/>
  <c r="L97" i="2" s="1"/>
  <c r="I32" i="2"/>
  <c r="K55" i="1"/>
  <c r="K59" i="1" s="1"/>
  <c r="J98" i="2"/>
  <c r="L128" i="1"/>
  <c r="L53" i="1" s="1"/>
  <c r="N35" i="6" l="1"/>
  <c r="N38" i="6" s="1"/>
  <c r="N46" i="6" s="1"/>
  <c r="N16" i="6"/>
  <c r="N47" i="6" s="1"/>
  <c r="J99" i="2"/>
  <c r="M127" i="1"/>
  <c r="K66" i="1"/>
  <c r="I39" i="2"/>
  <c r="J37" i="6" s="1"/>
  <c r="J38" i="6" s="1"/>
  <c r="J46" i="6" s="1"/>
  <c r="J51" i="6" s="1"/>
  <c r="J53" i="6" s="1"/>
  <c r="N51" i="6" l="1"/>
  <c r="N52" i="6" s="1"/>
  <c r="I59" i="6" s="1"/>
  <c r="K98" i="2"/>
  <c r="M128" i="1"/>
  <c r="M53" i="1" s="1"/>
  <c r="J32" i="2"/>
  <c r="L55" i="1"/>
  <c r="L59" i="1" s="1"/>
  <c r="L129" i="1"/>
  <c r="J100" i="2" s="1"/>
  <c r="I46" i="2"/>
  <c r="K88" i="1"/>
  <c r="I68" i="2" s="1"/>
  <c r="J39" i="2" l="1"/>
  <c r="K37" i="6" s="1"/>
  <c r="K38" i="6" s="1"/>
  <c r="K46" i="6" s="1"/>
  <c r="K51" i="6" s="1"/>
  <c r="L66" i="1"/>
  <c r="K99" i="2"/>
  <c r="N127" i="1"/>
  <c r="K53" i="6" l="1"/>
  <c r="N53" i="6"/>
  <c r="K32" i="2"/>
  <c r="M55" i="1"/>
  <c r="M59" i="1" s="1"/>
  <c r="M129" i="1"/>
  <c r="K100" i="2" s="1"/>
  <c r="L98" i="2"/>
  <c r="N128" i="1"/>
  <c r="N53" i="1" s="1"/>
  <c r="J46" i="2"/>
  <c r="L88" i="1"/>
  <c r="J68" i="2" s="1"/>
  <c r="K39" i="2" l="1"/>
  <c r="L37" i="6" s="1"/>
  <c r="L38" i="6" s="1"/>
  <c r="L46" i="6" s="1"/>
  <c r="L51" i="6" s="1"/>
  <c r="M66" i="1"/>
  <c r="L99" i="2"/>
  <c r="N129" i="1"/>
  <c r="L100" i="2" s="1"/>
  <c r="L53" i="6" l="1"/>
  <c r="K46" i="2"/>
  <c r="M88" i="1"/>
  <c r="K68" i="2" s="1"/>
  <c r="L32" i="2"/>
  <c r="N55" i="1"/>
  <c r="N59" i="1" s="1"/>
  <c r="L39" i="2" l="1"/>
  <c r="M37" i="6" s="1"/>
  <c r="M38" i="6" s="1"/>
  <c r="M46" i="6" s="1"/>
  <c r="M51" i="6" s="1"/>
  <c r="N66" i="1"/>
  <c r="M53" i="6" l="1"/>
  <c r="I58" i="6"/>
  <c r="I60" i="6" s="1"/>
  <c r="I72" i="6" s="1"/>
  <c r="I74" i="6" s="1"/>
  <c r="N58" i="6" s="1"/>
  <c r="N60" i="6" s="1"/>
  <c r="E9" i="7" s="1"/>
  <c r="E11" i="7" s="1"/>
  <c r="N88" i="1"/>
  <c r="L68" i="2" s="1"/>
  <c r="L46" i="2"/>
</calcChain>
</file>

<file path=xl/sharedStrings.xml><?xml version="1.0" encoding="utf-8"?>
<sst xmlns="http://schemas.openxmlformats.org/spreadsheetml/2006/main" count="459" uniqueCount="334">
  <si>
    <t>Microsoft Corporation - Full Historical Statements</t>
  </si>
  <si>
    <t>USD in millions, except per-share amounts and share counts</t>
  </si>
  <si>
    <t>ASSUMPTIONS</t>
  </si>
  <si>
    <t>Revenue Growth (%)</t>
  </si>
  <si>
    <t>Product Revenue (% of Revenue)</t>
  </si>
  <si>
    <t>Service Revenue (% of Revenue)</t>
  </si>
  <si>
    <r>
      <t xml:space="preserve">Cost of Goods </t>
    </r>
    <r>
      <rPr>
        <i/>
        <sz val="10"/>
        <color theme="1"/>
        <rFont val="Arial"/>
        <family val="2"/>
      </rPr>
      <t>(% of Revenue)</t>
    </r>
  </si>
  <si>
    <r>
      <t>Product COG</t>
    </r>
    <r>
      <rPr>
        <i/>
        <sz val="11"/>
        <color theme="1"/>
        <rFont val="Arial"/>
        <family val="2"/>
      </rPr>
      <t xml:space="preserve"> </t>
    </r>
  </si>
  <si>
    <t xml:space="preserve">Service COG </t>
  </si>
  <si>
    <r>
      <t xml:space="preserve">Operating Expenses </t>
    </r>
    <r>
      <rPr>
        <i/>
        <sz val="10"/>
        <color theme="1"/>
        <rFont val="Arial"/>
        <family val="2"/>
      </rPr>
      <t>(% of Revenue)</t>
    </r>
  </si>
  <si>
    <t xml:space="preserve">Research and Development </t>
  </si>
  <si>
    <t>Sales and Marketing</t>
  </si>
  <si>
    <t xml:space="preserve">G&amp;A </t>
  </si>
  <si>
    <r>
      <t xml:space="preserve">Interest </t>
    </r>
    <r>
      <rPr>
        <i/>
        <sz val="10"/>
        <color theme="1"/>
        <rFont val="Arial"/>
        <family val="2"/>
      </rPr>
      <t>(% of Debt)</t>
    </r>
  </si>
  <si>
    <r>
      <t xml:space="preserve">Taxes </t>
    </r>
    <r>
      <rPr>
        <i/>
        <sz val="12"/>
        <color theme="1"/>
        <rFont val="Arial"/>
        <family val="2"/>
      </rPr>
      <t>(</t>
    </r>
    <r>
      <rPr>
        <i/>
        <sz val="10"/>
        <color theme="1"/>
        <rFont val="Arial"/>
        <family val="2"/>
      </rPr>
      <t>% of EBT)</t>
    </r>
  </si>
  <si>
    <r>
      <t xml:space="preserve">D&amp;A </t>
    </r>
    <r>
      <rPr>
        <i/>
        <sz val="10"/>
        <color theme="1"/>
        <rFont val="Arial"/>
        <family val="2"/>
      </rPr>
      <t>(% of PPE)</t>
    </r>
  </si>
  <si>
    <r>
      <t xml:space="preserve">Accounts Receivable </t>
    </r>
    <r>
      <rPr>
        <i/>
        <sz val="10"/>
        <color theme="1"/>
        <rFont val="Arial"/>
        <family val="2"/>
      </rPr>
      <t>(Days)</t>
    </r>
  </si>
  <si>
    <r>
      <t xml:space="preserve">Inventory </t>
    </r>
    <r>
      <rPr>
        <i/>
        <sz val="10"/>
        <color theme="1"/>
        <rFont val="Arial"/>
        <family val="2"/>
      </rPr>
      <t>(Days)</t>
    </r>
  </si>
  <si>
    <r>
      <t xml:space="preserve">Accounts Payable </t>
    </r>
    <r>
      <rPr>
        <i/>
        <sz val="10"/>
        <color theme="1"/>
        <rFont val="Arial"/>
        <family val="2"/>
      </rPr>
      <t>(Days)</t>
    </r>
  </si>
  <si>
    <t xml:space="preserve">CAPEX </t>
  </si>
  <si>
    <t>(% of Revenue)</t>
  </si>
  <si>
    <t xml:space="preserve">Days </t>
  </si>
  <si>
    <t>2021A</t>
  </si>
  <si>
    <t>2022A</t>
  </si>
  <si>
    <t>2023A</t>
  </si>
  <si>
    <t>2024A</t>
  </si>
  <si>
    <t>2025A</t>
  </si>
  <si>
    <t>2026E</t>
  </si>
  <si>
    <t>2027E</t>
  </si>
  <si>
    <t>2028E</t>
  </si>
  <si>
    <t>2029E</t>
  </si>
  <si>
    <t>2030E</t>
  </si>
  <si>
    <t>Income Statement</t>
  </si>
  <si>
    <t>Product revenue</t>
  </si>
  <si>
    <t>Service and other revenue</t>
  </si>
  <si>
    <t>Total revenue</t>
  </si>
  <si>
    <t>Product cost of revenue</t>
  </si>
  <si>
    <t>Service and other cost of revenue</t>
  </si>
  <si>
    <t>Total cost of revenue</t>
  </si>
  <si>
    <t>Gross margin</t>
  </si>
  <si>
    <t>Research and development</t>
  </si>
  <si>
    <t>Sales and marketing</t>
  </si>
  <si>
    <t>General and administrative</t>
  </si>
  <si>
    <t>Operating income</t>
  </si>
  <si>
    <t>Other income / (expense), net</t>
  </si>
  <si>
    <t>Income before income taxes</t>
  </si>
  <si>
    <t>Provision for income taxes</t>
  </si>
  <si>
    <t>Net income</t>
  </si>
  <si>
    <t>Basic EPS</t>
  </si>
  <si>
    <t>Diluted EPS</t>
  </si>
  <si>
    <t>Basic weighted average shares</t>
  </si>
  <si>
    <t>Diluted weighted average shares</t>
  </si>
  <si>
    <t>Balance Sheet</t>
  </si>
  <si>
    <t>Cash and cash equivalents</t>
  </si>
  <si>
    <t>Short-term investments</t>
  </si>
  <si>
    <t>Total cash, cash equivalents, and short-term investments</t>
  </si>
  <si>
    <t>Accounts receivable</t>
  </si>
  <si>
    <t>Inventories</t>
  </si>
  <si>
    <t>Other current assets</t>
  </si>
  <si>
    <t>Total current assets</t>
  </si>
  <si>
    <t>Property and equipment, net</t>
  </si>
  <si>
    <t>Operating lease right-of-use assets</t>
  </si>
  <si>
    <t>Equity and other investments</t>
  </si>
  <si>
    <t>Goodwill</t>
  </si>
  <si>
    <t>Intangible assets, net</t>
  </si>
  <si>
    <t>Other long-term assets</t>
  </si>
  <si>
    <t>Total assets</t>
  </si>
  <si>
    <t>Accounts payable</t>
  </si>
  <si>
    <t>Short-term debt</t>
  </si>
  <si>
    <t>Current portion of long-term debt</t>
  </si>
  <si>
    <t>Accrued compensation</t>
  </si>
  <si>
    <t>Short-term income taxes</t>
  </si>
  <si>
    <t>Short-term unearned revenue</t>
  </si>
  <si>
    <t>Other current liabilities</t>
  </si>
  <si>
    <t>Total current liabilities</t>
  </si>
  <si>
    <t>Long-term debt</t>
  </si>
  <si>
    <t>Long-term income taxes</t>
  </si>
  <si>
    <t>Long-term unearned revenue</t>
  </si>
  <si>
    <t>Deferred income taxes - liabilities</t>
  </si>
  <si>
    <t>Operating lease liabilities</t>
  </si>
  <si>
    <t>Other long-term liabilities</t>
  </si>
  <si>
    <t>Total liabilities</t>
  </si>
  <si>
    <t>Common stock and paid-in capital</t>
  </si>
  <si>
    <t>Retained earnings</t>
  </si>
  <si>
    <t>Accumulated other comprehensive income / (loss)</t>
  </si>
  <si>
    <t>Total stockholders’ equity</t>
  </si>
  <si>
    <t>Total liabilities and stockholders’ equity</t>
  </si>
  <si>
    <t>Balance sheet check</t>
  </si>
  <si>
    <t>Cash Flow Statement</t>
  </si>
  <si>
    <t>CF - Net income</t>
  </si>
  <si>
    <t>Depreciation, amortization, and other</t>
  </si>
  <si>
    <t>Stock-based compensation expense</t>
  </si>
  <si>
    <t>Net recognized losses / (gains) on investments and derivatives</t>
  </si>
  <si>
    <t>Deferred income taxes - cash flow</t>
  </si>
  <si>
    <t>Change in accounts receivable</t>
  </si>
  <si>
    <t>Change in inventories</t>
  </si>
  <si>
    <t>Change in other current assets</t>
  </si>
  <si>
    <t>Change in other long-term assets</t>
  </si>
  <si>
    <t>Change in accounts payable</t>
  </si>
  <si>
    <t>Change in unearned revenue</t>
  </si>
  <si>
    <t>Change in income taxes</t>
  </si>
  <si>
    <t>Change in other current liabilities</t>
  </si>
  <si>
    <t>Change in other long-term liabilities</t>
  </si>
  <si>
    <t>Net cash from operations</t>
  </si>
  <si>
    <t>Cash premium on debt exchange</t>
  </si>
  <si>
    <t>Proceeds from issuance / (repayments) of debt, maturities of 90 days or less, net</t>
  </si>
  <si>
    <t>Proceeds from issuance of debt</t>
  </si>
  <si>
    <t>Repayments of debt</t>
  </si>
  <si>
    <t>Common stock issued</t>
  </si>
  <si>
    <t>Common stock repurchased</t>
  </si>
  <si>
    <t>Common stock cash dividends paid</t>
  </si>
  <si>
    <t>Other financing, net</t>
  </si>
  <si>
    <t>Net cash used in financing</t>
  </si>
  <si>
    <t>Additions to property and equipment</t>
  </si>
  <si>
    <t>Acquisition of companies, net of cash acquired and divestitures, and purchases of intangible and other assets</t>
  </si>
  <si>
    <t>Purchases of investments</t>
  </si>
  <si>
    <t>Maturities of investments</t>
  </si>
  <si>
    <t>Sales of investments</t>
  </si>
  <si>
    <t>Other investing, net</t>
  </si>
  <si>
    <t>Net cash used in investing</t>
  </si>
  <si>
    <t>Effect of foreign exchange rates on cash and cash equivalents</t>
  </si>
  <si>
    <t>Net change in cash and cash equivalents</t>
  </si>
  <si>
    <t>Cash and cash equivalents, beginning of period</t>
  </si>
  <si>
    <t>Cash and cash equivalents, end of period</t>
  </si>
  <si>
    <t>Cash flow check to balance sheet cash</t>
  </si>
  <si>
    <t>SUPPORTING SCHEDULE</t>
  </si>
  <si>
    <t xml:space="preserve">Working Capital Schedule </t>
  </si>
  <si>
    <t xml:space="preserve">Accounts Receivable </t>
  </si>
  <si>
    <t>Inventory</t>
  </si>
  <si>
    <t>Accounts Payable</t>
  </si>
  <si>
    <t>Net Working Capital (NWC)</t>
  </si>
  <si>
    <t>Change in NWC</t>
  </si>
  <si>
    <t>PPE Opening</t>
  </si>
  <si>
    <t>Plus: CAPEX</t>
  </si>
  <si>
    <t>Less: D&amp;A</t>
  </si>
  <si>
    <t>PPE Closing</t>
  </si>
  <si>
    <t>Debt &amp; Interest Schedule</t>
  </si>
  <si>
    <t>Long-Term Debt Opening</t>
  </si>
  <si>
    <t>Current Portion of Debt Opening</t>
  </si>
  <si>
    <t xml:space="preserve">Debt Base Opening </t>
  </si>
  <si>
    <t xml:space="preserve">New </t>
  </si>
  <si>
    <t>Repayments</t>
  </si>
  <si>
    <t>Non-Cash Adjustments</t>
  </si>
  <si>
    <t>Debt Closing</t>
  </si>
  <si>
    <t>Interest Expense</t>
  </si>
  <si>
    <t>Microsoft Corporation - Simplified Model</t>
  </si>
  <si>
    <t>USD in millions, except EPS/shares; FY2026-FY2030 forecast area left blank</t>
  </si>
  <si>
    <t>Revenue</t>
  </si>
  <si>
    <t>R&amp;D</t>
  </si>
  <si>
    <t>G&amp;A</t>
  </si>
  <si>
    <t>Accounts receivable days</t>
  </si>
  <si>
    <t>Inventory days</t>
  </si>
  <si>
    <t>Operating lease ROU assets</t>
  </si>
  <si>
    <t>DPO</t>
  </si>
  <si>
    <t>Deferred income tax liabilities</t>
  </si>
  <si>
    <t>AOCI</t>
  </si>
  <si>
    <t>Deferred income taxes</t>
  </si>
  <si>
    <t>Change in working capital and other operating items</t>
  </si>
  <si>
    <t>Acquisitions / intangibles / other assets</t>
  </si>
  <si>
    <t>Debt issuance / (repayments), net</t>
  </si>
  <si>
    <t>Effect of FX on cash</t>
  </si>
  <si>
    <t>Net change in cash</t>
  </si>
  <si>
    <t>Beginning cash</t>
  </si>
  <si>
    <t>Ending cash</t>
  </si>
  <si>
    <t>Cash flow check</t>
  </si>
  <si>
    <t xml:space="preserve">Gross Profit </t>
  </si>
  <si>
    <t>Operating Profit Margin</t>
  </si>
  <si>
    <t>Net Profit Margin</t>
  </si>
  <si>
    <t>Operating Cash Flow</t>
  </si>
  <si>
    <t>Less: CAPEX</t>
  </si>
  <si>
    <t>FCF</t>
  </si>
  <si>
    <t>EBIT</t>
  </si>
  <si>
    <t>Tax Rate</t>
  </si>
  <si>
    <t>NOPAT</t>
  </si>
  <si>
    <t>Total Debt</t>
  </si>
  <si>
    <t>Total Equity</t>
  </si>
  <si>
    <t>Excess Cash</t>
  </si>
  <si>
    <t>Invested Capital</t>
  </si>
  <si>
    <t>ROIC</t>
  </si>
  <si>
    <t>Return on Equity</t>
  </si>
  <si>
    <t>Net Income</t>
  </si>
  <si>
    <t>Shareholders Equity</t>
  </si>
  <si>
    <t>ROE</t>
  </si>
  <si>
    <t>D/E Ratio</t>
  </si>
  <si>
    <t xml:space="preserve">EV / EBITDA </t>
  </si>
  <si>
    <t>Shares Outstanding</t>
  </si>
  <si>
    <t>Equity Value</t>
  </si>
  <si>
    <t>Cash and Cash equivalents</t>
  </si>
  <si>
    <t>Enterprise Value</t>
  </si>
  <si>
    <t xml:space="preserve">EV / Revenue </t>
  </si>
  <si>
    <t xml:space="preserve">P/E Ratio </t>
  </si>
  <si>
    <t>Company Name</t>
  </si>
  <si>
    <t>Forward P/E</t>
  </si>
  <si>
    <t>EV/EBITDA</t>
  </si>
  <si>
    <t xml:space="preserve">Expected Revenue Growth </t>
  </si>
  <si>
    <t>PEG Ratio</t>
  </si>
  <si>
    <t xml:space="preserve">Microsoft </t>
  </si>
  <si>
    <t xml:space="preserve">Alphabet </t>
  </si>
  <si>
    <t xml:space="preserve">Amazon </t>
  </si>
  <si>
    <t xml:space="preserve">Apple </t>
  </si>
  <si>
    <t>Peer Average</t>
  </si>
  <si>
    <t>Microsoft Corporation Historical Model - Source Notes</t>
  </si>
  <si>
    <t>Units</t>
  </si>
  <si>
    <t>USD millions unless otherwise stated</t>
  </si>
  <si>
    <t>Company</t>
  </si>
  <si>
    <t>Microsoft Corporation</t>
  </si>
  <si>
    <t>Ticker</t>
  </si>
  <si>
    <t>MSFT</t>
  </si>
  <si>
    <t>Fiscal year</t>
  </si>
  <si>
    <t>Filing used</t>
  </si>
  <si>
    <t>Uploaded PDF filename</t>
  </si>
  <si>
    <t>SEC archive URL</t>
  </si>
  <si>
    <t>FY2021 Form 10-K</t>
  </si>
  <si>
    <t>0001564590-21-039151.pdf</t>
  </si>
  <si>
    <t>https://www.sec.gov/Archives/edgar/data/789019/000156459021039151/</t>
  </si>
  <si>
    <t>FY2023 Form 10-K comparative statements / FY2022 Form 10-K cross-check</t>
  </si>
  <si>
    <t>0000950170-23-035122.pdf / 0001564590-22-026876.pdf</t>
  </si>
  <si>
    <t>https://www.sec.gov/Archives/edgar/data/789019/000095017023035122/</t>
  </si>
  <si>
    <t>FY2025 Form 10-K comparative statements / FY2023 Form 10-K cross-check</t>
  </si>
  <si>
    <t>0000950170-25-100235.pdf / 0000950170-23-035122.pdf</t>
  </si>
  <si>
    <t>https://www.sec.gov/Archives/edgar/data/789019/000095017025100235/</t>
  </si>
  <si>
    <t>FY2025 Form 10-K comparative statements</t>
  </si>
  <si>
    <t>0000950170-25-100235.pdf</t>
  </si>
  <si>
    <t>FY2025 Form 10-K</t>
  </si>
  <si>
    <t>Scope</t>
  </si>
  <si>
    <t>Full historical statements plus linked simplified model. Forecast columns are intentionally left blank for user completion.</t>
  </si>
  <si>
    <t>Colour convention</t>
  </si>
  <si>
    <t>Blue font = hardcoded audited inputs; black font = formulas; green font = same-workbook links; yellow fill = forecast input area.</t>
  </si>
  <si>
    <t>2026F</t>
  </si>
  <si>
    <t>2027F</t>
  </si>
  <si>
    <t>2028F</t>
  </si>
  <si>
    <t>2029F</t>
  </si>
  <si>
    <t>2030F</t>
  </si>
  <si>
    <t xml:space="preserve">Year -2 </t>
  </si>
  <si>
    <t>Year 0</t>
  </si>
  <si>
    <t>Year 1</t>
  </si>
  <si>
    <t>Year 2</t>
  </si>
  <si>
    <t>Year 3</t>
  </si>
  <si>
    <t>Year 4</t>
  </si>
  <si>
    <t>Year 5</t>
  </si>
  <si>
    <t>Term</t>
  </si>
  <si>
    <t>Revenue Growth</t>
  </si>
  <si>
    <t>COGS</t>
  </si>
  <si>
    <t>SG&amp;A</t>
  </si>
  <si>
    <t>Depreciation Growth</t>
  </si>
  <si>
    <t>Gross Profit</t>
  </si>
  <si>
    <t>EBITDA</t>
  </si>
  <si>
    <t>Depreciation</t>
  </si>
  <si>
    <t>Operating Profit</t>
  </si>
  <si>
    <t>Current Tax</t>
  </si>
  <si>
    <t>UNLEVERED FREE CASH FLOW</t>
  </si>
  <si>
    <t>Unlevered Free Cash Flow</t>
  </si>
  <si>
    <t>Current Taxes</t>
  </si>
  <si>
    <t xml:space="preserve">D&amp;A </t>
  </si>
  <si>
    <t>Capital Expenditure</t>
  </si>
  <si>
    <t>Cash from Working Capital</t>
  </si>
  <si>
    <t>DISCOUNTED CASH FLOW SCHEDULE</t>
  </si>
  <si>
    <t>UNDISCOUNTED CASH FLOW</t>
  </si>
  <si>
    <t>Discrete Forecast</t>
  </si>
  <si>
    <t>Terminal Value</t>
  </si>
  <si>
    <t>Total Cash Flow</t>
  </si>
  <si>
    <t>ENTERPRISE VALUE</t>
  </si>
  <si>
    <t>EQUITY VALUE PER SHARE</t>
  </si>
  <si>
    <t>First Year of Forecast</t>
  </si>
  <si>
    <t>PV of Discrete</t>
  </si>
  <si>
    <t xml:space="preserve">Equity Value </t>
  </si>
  <si>
    <t>Terminal Multiple</t>
  </si>
  <si>
    <t xml:space="preserve">PV of Terminal </t>
  </si>
  <si>
    <t xml:space="preserve">Shares Outstanding </t>
  </si>
  <si>
    <t>Discount Rate</t>
  </si>
  <si>
    <t>COST OF EQUITY</t>
  </si>
  <si>
    <t>NET DEBT</t>
  </si>
  <si>
    <t>Risk-free rate (US 10y)</t>
  </si>
  <si>
    <t>Beta</t>
  </si>
  <si>
    <t>Market risk premium</t>
  </si>
  <si>
    <t>Cash and cash equivalent</t>
  </si>
  <si>
    <t>CAPM</t>
  </si>
  <si>
    <t>Net debt</t>
  </si>
  <si>
    <t>AFTER-TAX COST OF DEBT</t>
  </si>
  <si>
    <t>EQUITY VALUE</t>
  </si>
  <si>
    <t>Interest Rate on Debt</t>
  </si>
  <si>
    <t xml:space="preserve">Less: Net Debt </t>
  </si>
  <si>
    <t>After-tax Cost of Debt</t>
  </si>
  <si>
    <t xml:space="preserve">MARKET VALUE OF EQUITY AND DEBT </t>
  </si>
  <si>
    <t>AVERAGE MATURITY</t>
  </si>
  <si>
    <t xml:space="preserve">Outstanding </t>
  </si>
  <si>
    <t>Maturity</t>
  </si>
  <si>
    <t>YTM</t>
  </si>
  <si>
    <t xml:space="preserve">Market Value of Equity </t>
  </si>
  <si>
    <t>Weight</t>
  </si>
  <si>
    <t xml:space="preserve">Interest Expense </t>
  </si>
  <si>
    <t>Current Cost of Debt</t>
  </si>
  <si>
    <r>
      <t>Average Maturity (</t>
    </r>
    <r>
      <rPr>
        <i/>
        <sz val="12"/>
        <color theme="1"/>
        <rFont val="Arial"/>
        <family val="2"/>
      </rPr>
      <t>years)</t>
    </r>
  </si>
  <si>
    <t>Market Value of Debt</t>
  </si>
  <si>
    <t>Total</t>
  </si>
  <si>
    <t>Operating Income</t>
  </si>
  <si>
    <r>
      <t xml:space="preserve">Other Income </t>
    </r>
    <r>
      <rPr>
        <i/>
        <sz val="10"/>
        <color theme="1"/>
        <rFont val="Arial"/>
        <family val="2"/>
      </rPr>
      <t>(% of EBT)</t>
    </r>
  </si>
  <si>
    <r>
      <t xml:space="preserve">Share price </t>
    </r>
    <r>
      <rPr>
        <i/>
        <sz val="12"/>
        <color theme="1"/>
        <rFont val="Arial"/>
        <family val="2"/>
      </rPr>
      <t>(17/07/26)</t>
    </r>
  </si>
  <si>
    <t>Growth Rate</t>
  </si>
  <si>
    <t>Instrinsic Value per Share</t>
  </si>
  <si>
    <t xml:space="preserve">OPERATIONAL EFFICIENCY </t>
  </si>
  <si>
    <t>LEVERED FREE CASH FLOW</t>
  </si>
  <si>
    <t>(Growth Rate)</t>
  </si>
  <si>
    <t>RETURN ON INVESTOR CAPITAL</t>
  </si>
  <si>
    <t>RETURN ON EQUITY (ROE)</t>
  </si>
  <si>
    <t>RATIOS</t>
  </si>
  <si>
    <t xml:space="preserve">Share Price </t>
  </si>
  <si>
    <t>Project Soft: Microsoft Valuation Model | 19th July 2026</t>
  </si>
  <si>
    <t>Ibrahim Diaby</t>
  </si>
  <si>
    <t>Valuation Summary</t>
  </si>
  <si>
    <t>Current Share Price</t>
  </si>
  <si>
    <t>Implied Premium</t>
  </si>
  <si>
    <t>Key Financial Metrics</t>
  </si>
  <si>
    <t xml:space="preserve">Income Statement </t>
  </si>
  <si>
    <t xml:space="preserve">Revenue </t>
  </si>
  <si>
    <t xml:space="preserve">EBITDA </t>
  </si>
  <si>
    <t>EBITDA Margin (%)</t>
  </si>
  <si>
    <t xml:space="preserve">Return on Invested Capital </t>
  </si>
  <si>
    <t>EV / Revenue</t>
  </si>
  <si>
    <t>P/E Ratio</t>
  </si>
  <si>
    <t xml:space="preserve">Ratios </t>
  </si>
  <si>
    <t>Instrinic Share Price</t>
  </si>
  <si>
    <t>Cost of Goods</t>
  </si>
  <si>
    <t>Gross Margin (%)</t>
  </si>
  <si>
    <t>R&amp;D (% Revenue)</t>
  </si>
  <si>
    <t>Sales &amp; Marketing (% Revenue)</t>
  </si>
  <si>
    <t>Sales &amp; Marketing</t>
  </si>
  <si>
    <t>G&amp;A (% Revenue)</t>
  </si>
  <si>
    <t>Operating Margin</t>
  </si>
  <si>
    <t>Net Margin</t>
  </si>
  <si>
    <t>D&amp;A % Revenue</t>
  </si>
  <si>
    <t>SBC % Revenue</t>
  </si>
  <si>
    <t>Cash Conversion</t>
  </si>
  <si>
    <t>CapEx %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</si>
</sst>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;[Red]\(#,##0\);\-"/>
    <numFmt numFmtId="165" formatCode="0.00;[Red]\(0.00\);\-"/>
    <numFmt numFmtId="166" formatCode="0.0%;[Red]\(0.0%\);\-"/>
    <numFmt numFmtId="167" formatCode="0.0;[Red]\(0.0\);\-"/>
    <numFmt numFmtId="168" formatCode="_(* #,##0.0_);_(* \(#,##0.0\);_(* &quot;-&quot;??_);_(@_)"/>
    <numFmt numFmtId="169" formatCode="_(* #,##0_);_(* \(#,##0\);_(* &quot;-&quot;??_);_(@_)"/>
    <numFmt numFmtId="170" formatCode="0.0\x;[Red]\(0.0\x\);\-"/>
    <numFmt numFmtId="173" formatCode="0.0%"/>
  </numFmts>
  <fonts count="38">
    <font>
      <sz val="11"/>
      <name val="Carlito"/>
    </font>
    <font>
      <b/>
      <sz val="14"/>
      <color rgb="FFFFFFFF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name val="Arial"/>
      <family val="2"/>
    </font>
    <font>
      <b/>
      <sz val="14"/>
      <color rgb="FFFFFFFF"/>
      <name val="Arial"/>
      <family val="2"/>
    </font>
    <font>
      <i/>
      <sz val="11"/>
      <color rgb="FF666666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1"/>
      <color rgb="FF008000"/>
      <name val="Arial"/>
      <family val="2"/>
    </font>
    <font>
      <b/>
      <sz val="11"/>
      <color rgb="FF008000"/>
      <name val="Arial"/>
      <family val="2"/>
    </font>
    <font>
      <b/>
      <sz val="18"/>
      <color theme="1"/>
      <name val="Arial"/>
      <family val="2"/>
    </font>
    <font>
      <i/>
      <sz val="11"/>
      <name val="Arial"/>
      <family val="2"/>
    </font>
    <font>
      <i/>
      <sz val="12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i/>
      <sz val="10"/>
      <name val="Arial"/>
      <family val="2"/>
    </font>
    <font>
      <b/>
      <sz val="22"/>
      <color theme="1"/>
      <name val="Arial"/>
      <family val="2"/>
    </font>
    <font>
      <i/>
      <sz val="12"/>
      <color theme="1" tint="0.249977111117893"/>
      <name val="Arial"/>
      <family val="2"/>
    </font>
    <font>
      <b/>
      <sz val="12"/>
      <color theme="1" tint="0.34998626667073579"/>
      <name val="Arial"/>
      <family val="2"/>
    </font>
    <font>
      <sz val="12"/>
      <color theme="9" tint="-0.249977111117893"/>
      <name val="Arial"/>
      <family val="2"/>
    </font>
    <font>
      <sz val="10"/>
      <name val="Arial"/>
      <family val="2"/>
    </font>
    <font>
      <i/>
      <sz val="10"/>
      <color theme="5" tint="-0.249977111117893"/>
      <name val="Arial"/>
      <family val="2"/>
    </font>
    <font>
      <sz val="10"/>
      <color theme="5" tint="-0.249977111117893"/>
      <name val="Arial"/>
      <family val="2"/>
    </font>
    <font>
      <sz val="11"/>
      <color theme="5" tint="-0.249977111117893"/>
      <name val="Arial"/>
      <family val="2"/>
    </font>
    <font>
      <b/>
      <sz val="14"/>
      <color rgb="FF0000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293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229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0" fillId="0" borderId="3" xfId="0" applyBorder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left"/>
    </xf>
    <xf numFmtId="164" fontId="5" fillId="0" borderId="0" xfId="0" applyNumberFormat="1" applyFont="1"/>
    <xf numFmtId="164" fontId="12" fillId="0" borderId="0" xfId="0" applyNumberFormat="1" applyFont="1" applyAlignment="1">
      <alignment horizontal="right"/>
    </xf>
    <xf numFmtId="0" fontId="13" fillId="0" borderId="2" xfId="0" applyFont="1" applyBorder="1"/>
    <xf numFmtId="164" fontId="14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5" fillId="0" borderId="3" xfId="0" applyFont="1" applyBorder="1"/>
    <xf numFmtId="164" fontId="12" fillId="0" borderId="3" xfId="0" applyNumberFormat="1" applyFont="1" applyBorder="1" applyAlignment="1">
      <alignment horizontal="right"/>
    </xf>
    <xf numFmtId="0" fontId="13" fillId="0" borderId="0" xfId="0" applyFont="1"/>
    <xf numFmtId="164" fontId="14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right"/>
    </xf>
    <xf numFmtId="0" fontId="13" fillId="4" borderId="0" xfId="0" applyFont="1" applyFill="1"/>
    <xf numFmtId="164" fontId="14" fillId="4" borderId="0" xfId="0" applyNumberFormat="1" applyFont="1" applyFill="1" applyAlignment="1">
      <alignment horizontal="right"/>
    </xf>
    <xf numFmtId="0" fontId="15" fillId="0" borderId="0" xfId="0" applyFont="1" applyAlignment="1">
      <alignment horizontal="left"/>
    </xf>
    <xf numFmtId="9" fontId="7" fillId="0" borderId="0" xfId="2" applyFont="1"/>
    <xf numFmtId="169" fontId="7" fillId="0" borderId="0" xfId="1" applyNumberFormat="1" applyFont="1"/>
    <xf numFmtId="164" fontId="7" fillId="0" borderId="0" xfId="0" applyNumberFormat="1" applyFont="1"/>
    <xf numFmtId="2" fontId="0" fillId="0" borderId="0" xfId="0" applyNumberFormat="1"/>
    <xf numFmtId="10" fontId="0" fillId="0" borderId="0" xfId="0" applyNumberFormat="1"/>
    <xf numFmtId="0" fontId="3" fillId="0" borderId="4" xfId="0" applyFont="1" applyBorder="1"/>
    <xf numFmtId="2" fontId="3" fillId="0" borderId="4" xfId="0" applyNumberFormat="1" applyFont="1" applyBorder="1"/>
    <xf numFmtId="2" fontId="0" fillId="0" borderId="3" xfId="0" applyNumberFormat="1" applyBorder="1"/>
    <xf numFmtId="10" fontId="3" fillId="0" borderId="4" xfId="2" applyNumberFormat="1" applyFont="1" applyBorder="1"/>
    <xf numFmtId="10" fontId="0" fillId="0" borderId="3" xfId="0" applyNumberFormat="1" applyBorder="1"/>
    <xf numFmtId="0" fontId="0" fillId="0" borderId="5" xfId="0" applyBorder="1"/>
    <xf numFmtId="0" fontId="0" fillId="0" borderId="5" xfId="0" applyBorder="1" applyAlignment="1">
      <alignment horizontal="right"/>
    </xf>
    <xf numFmtId="0" fontId="5" fillId="0" borderId="1" xfId="0" applyFont="1" applyBorder="1"/>
    <xf numFmtId="168" fontId="5" fillId="0" borderId="0" xfId="1" applyNumberFormat="1" applyFont="1"/>
    <xf numFmtId="169" fontId="5" fillId="0" borderId="1" xfId="1" applyNumberFormat="1" applyFont="1" applyBorder="1"/>
    <xf numFmtId="169" fontId="5" fillId="0" borderId="0" xfId="1" applyNumberFormat="1" applyFont="1"/>
    <xf numFmtId="169" fontId="13" fillId="0" borderId="2" xfId="1" applyNumberFormat="1" applyFont="1" applyBorder="1"/>
    <xf numFmtId="169" fontId="5" fillId="0" borderId="1" xfId="0" applyNumberFormat="1" applyFont="1" applyBorder="1"/>
    <xf numFmtId="169" fontId="5" fillId="0" borderId="0" xfId="0" applyNumberFormat="1" applyFont="1"/>
    <xf numFmtId="169" fontId="13" fillId="0" borderId="2" xfId="0" applyNumberFormat="1" applyFont="1" applyBorder="1"/>
    <xf numFmtId="9" fontId="5" fillId="0" borderId="0" xfId="2" applyFont="1"/>
    <xf numFmtId="164" fontId="5" fillId="0" borderId="2" xfId="0" applyNumberFormat="1" applyFont="1" applyBorder="1"/>
    <xf numFmtId="164" fontId="5" fillId="0" borderId="1" xfId="0" applyNumberFormat="1" applyFont="1" applyBorder="1"/>
    <xf numFmtId="164" fontId="15" fillId="0" borderId="0" xfId="0" applyNumberFormat="1" applyFont="1" applyAlignment="1">
      <alignment horizontal="right"/>
    </xf>
    <xf numFmtId="0" fontId="5" fillId="0" borderId="6" xfId="0" applyFont="1" applyBorder="1"/>
    <xf numFmtId="164" fontId="7" fillId="0" borderId="6" xfId="0" applyNumberFormat="1" applyFont="1" applyBorder="1"/>
    <xf numFmtId="9" fontId="7" fillId="0" borderId="6" xfId="2" applyFont="1" applyBorder="1"/>
    <xf numFmtId="169" fontId="5" fillId="0" borderId="6" xfId="0" applyNumberFormat="1" applyFont="1" applyBorder="1"/>
    <xf numFmtId="169" fontId="13" fillId="0" borderId="7" xfId="1" applyNumberFormat="1" applyFont="1" applyBorder="1"/>
    <xf numFmtId="169" fontId="13" fillId="0" borderId="7" xfId="0" applyNumberFormat="1" applyFont="1" applyBorder="1"/>
    <xf numFmtId="164" fontId="14" fillId="0" borderId="6" xfId="0" applyNumberFormat="1" applyFont="1" applyBorder="1" applyAlignment="1">
      <alignment horizontal="right"/>
    </xf>
    <xf numFmtId="169" fontId="5" fillId="0" borderId="6" xfId="1" applyNumberFormat="1" applyFont="1" applyBorder="1"/>
    <xf numFmtId="164" fontId="5" fillId="0" borderId="6" xfId="0" applyNumberFormat="1" applyFont="1" applyBorder="1"/>
    <xf numFmtId="164" fontId="15" fillId="0" borderId="6" xfId="0" applyNumberFormat="1" applyFont="1" applyBorder="1" applyAlignment="1">
      <alignment horizontal="right"/>
    </xf>
    <xf numFmtId="164" fontId="12" fillId="0" borderId="6" xfId="0" applyNumberFormat="1" applyFont="1" applyBorder="1" applyAlignment="1">
      <alignment horizontal="right"/>
    </xf>
    <xf numFmtId="164" fontId="5" fillId="0" borderId="7" xfId="0" applyNumberFormat="1" applyFont="1" applyBorder="1"/>
    <xf numFmtId="0" fontId="5" fillId="0" borderId="8" xfId="0" applyFont="1" applyBorder="1"/>
    <xf numFmtId="164" fontId="5" fillId="0" borderId="8" xfId="0" applyNumberFormat="1" applyFont="1" applyBorder="1"/>
    <xf numFmtId="0" fontId="5" fillId="0" borderId="10" xfId="0" applyFont="1" applyBorder="1"/>
    <xf numFmtId="0" fontId="5" fillId="0" borderId="9" xfId="0" applyFont="1" applyBorder="1"/>
    <xf numFmtId="0" fontId="13" fillId="0" borderId="8" xfId="0" applyFont="1" applyBorder="1"/>
    <xf numFmtId="0" fontId="7" fillId="0" borderId="0" xfId="0" applyFont="1"/>
    <xf numFmtId="169" fontId="5" fillId="0" borderId="8" xfId="1" applyNumberFormat="1" applyFont="1" applyBorder="1"/>
    <xf numFmtId="0" fontId="5" fillId="0" borderId="0" xfId="0" applyFont="1" applyAlignment="1">
      <alignment horizontal="center"/>
    </xf>
    <xf numFmtId="0" fontId="13" fillId="0" borderId="11" xfId="0" applyFont="1" applyBorder="1"/>
    <xf numFmtId="0" fontId="13" fillId="0" borderId="15" xfId="0" applyFont="1" applyBorder="1"/>
    <xf numFmtId="0" fontId="13" fillId="0" borderId="16" xfId="0" applyFont="1" applyBorder="1" applyAlignment="1">
      <alignment horizontal="right"/>
    </xf>
    <xf numFmtId="0" fontId="5" fillId="0" borderId="17" xfId="0" applyFont="1" applyBorder="1"/>
    <xf numFmtId="10" fontId="5" fillId="0" borderId="0" xfId="2" applyNumberFormat="1" applyFont="1"/>
    <xf numFmtId="10" fontId="5" fillId="0" borderId="17" xfId="2" applyNumberFormat="1" applyFont="1" applyBorder="1"/>
    <xf numFmtId="169" fontId="5" fillId="0" borderId="17" xfId="1" applyNumberFormat="1" applyFont="1" applyBorder="1"/>
    <xf numFmtId="169" fontId="5" fillId="0" borderId="10" xfId="1" applyNumberFormat="1" applyFont="1" applyBorder="1"/>
    <xf numFmtId="169" fontId="5" fillId="0" borderId="18" xfId="1" applyNumberFormat="1" applyFont="1" applyBorder="1"/>
    <xf numFmtId="9" fontId="5" fillId="0" borderId="17" xfId="2" applyFont="1" applyBorder="1"/>
    <xf numFmtId="169" fontId="5" fillId="0" borderId="19" xfId="1" applyNumberFormat="1" applyFont="1" applyBorder="1"/>
    <xf numFmtId="169" fontId="5" fillId="0" borderId="15" xfId="1" applyNumberFormat="1" applyFont="1" applyBorder="1"/>
    <xf numFmtId="169" fontId="5" fillId="0" borderId="16" xfId="1" applyNumberFormat="1" applyFont="1" applyBorder="1"/>
    <xf numFmtId="169" fontId="5" fillId="0" borderId="20" xfId="0" applyNumberFormat="1" applyFont="1" applyBorder="1"/>
    <xf numFmtId="169" fontId="5" fillId="0" borderId="10" xfId="0" applyNumberFormat="1" applyFont="1" applyBorder="1"/>
    <xf numFmtId="169" fontId="5" fillId="0" borderId="18" xfId="0" applyNumberFormat="1" applyFont="1" applyBorder="1"/>
    <xf numFmtId="0" fontId="5" fillId="0" borderId="21" xfId="0" applyFont="1" applyBorder="1"/>
    <xf numFmtId="169" fontId="5" fillId="0" borderId="22" xfId="0" applyNumberFormat="1" applyFont="1" applyBorder="1"/>
    <xf numFmtId="169" fontId="5" fillId="0" borderId="17" xfId="0" applyNumberFormat="1" applyFont="1" applyBorder="1"/>
    <xf numFmtId="0" fontId="13" fillId="0" borderId="23" xfId="0" applyFont="1" applyBorder="1"/>
    <xf numFmtId="0" fontId="5" fillId="0" borderId="12" xfId="0" applyFont="1" applyBorder="1"/>
    <xf numFmtId="169" fontId="13" fillId="0" borderId="12" xfId="0" applyNumberFormat="1" applyFont="1" applyBorder="1"/>
    <xf numFmtId="169" fontId="13" fillId="0" borderId="19" xfId="0" applyNumberFormat="1" applyFont="1" applyBorder="1"/>
    <xf numFmtId="169" fontId="13" fillId="0" borderId="8" xfId="0" applyNumberFormat="1" applyFont="1" applyBorder="1"/>
    <xf numFmtId="0" fontId="13" fillId="0" borderId="9" xfId="0" applyFont="1" applyBorder="1"/>
    <xf numFmtId="169" fontId="13" fillId="0" borderId="9" xfId="0" applyNumberFormat="1" applyFont="1" applyBorder="1"/>
    <xf numFmtId="0" fontId="18" fillId="0" borderId="0" xfId="0" applyFont="1"/>
    <xf numFmtId="0" fontId="19" fillId="0" borderId="0" xfId="0" applyFont="1"/>
    <xf numFmtId="0" fontId="20" fillId="0" borderId="20" xfId="0" applyFont="1" applyBorder="1"/>
    <xf numFmtId="0" fontId="20" fillId="0" borderId="10" xfId="0" applyFont="1" applyBorder="1"/>
    <xf numFmtId="0" fontId="20" fillId="0" borderId="24" xfId="0" applyFont="1" applyBorder="1"/>
    <xf numFmtId="169" fontId="20" fillId="0" borderId="24" xfId="1" applyNumberFormat="1" applyFont="1" applyBorder="1"/>
    <xf numFmtId="0" fontId="9" fillId="0" borderId="20" xfId="0" applyFont="1" applyBorder="1" applyAlignment="1">
      <alignment horizontal="left" indent="1"/>
    </xf>
    <xf numFmtId="169" fontId="5" fillId="0" borderId="24" xfId="1" applyNumberFormat="1" applyFont="1" applyBorder="1"/>
    <xf numFmtId="0" fontId="20" fillId="0" borderId="25" xfId="0" applyFont="1" applyBorder="1"/>
    <xf numFmtId="0" fontId="20" fillId="0" borderId="8" xfId="0" applyFont="1" applyBorder="1"/>
    <xf numFmtId="0" fontId="20" fillId="0" borderId="26" xfId="0" applyFont="1" applyBorder="1"/>
    <xf numFmtId="169" fontId="20" fillId="0" borderId="27" xfId="1" applyNumberFormat="1" applyFont="1" applyBorder="1"/>
    <xf numFmtId="0" fontId="9" fillId="0" borderId="25" xfId="0" applyFont="1" applyBorder="1" applyAlignment="1">
      <alignment horizontal="left" indent="1"/>
    </xf>
    <xf numFmtId="3" fontId="5" fillId="0" borderId="26" xfId="0" applyNumberFormat="1" applyFont="1" applyBorder="1"/>
    <xf numFmtId="0" fontId="20" fillId="0" borderId="21" xfId="0" applyFont="1" applyBorder="1"/>
    <xf numFmtId="0" fontId="20" fillId="0" borderId="9" xfId="0" applyFont="1" applyBorder="1"/>
    <xf numFmtId="9" fontId="20" fillId="0" borderId="27" xfId="2" applyFont="1" applyBorder="1"/>
    <xf numFmtId="169" fontId="20" fillId="0" borderId="27" xfId="0" applyNumberFormat="1" applyFont="1" applyBorder="1"/>
    <xf numFmtId="0" fontId="19" fillId="0" borderId="21" xfId="0" applyFont="1" applyBorder="1" applyAlignment="1">
      <alignment horizontal="left" indent="1"/>
    </xf>
    <xf numFmtId="2" fontId="13" fillId="0" borderId="27" xfId="0" applyNumberFormat="1" applyFont="1" applyBorder="1"/>
    <xf numFmtId="0" fontId="20" fillId="0" borderId="0" xfId="0" applyFont="1"/>
    <xf numFmtId="10" fontId="20" fillId="0" borderId="24" xfId="0" applyNumberFormat="1" applyFont="1" applyBorder="1"/>
    <xf numFmtId="169" fontId="20" fillId="0" borderId="26" xfId="1" applyNumberFormat="1" applyFont="1" applyBorder="1"/>
    <xf numFmtId="0" fontId="5" fillId="0" borderId="0" xfId="0" applyFont="1" applyAlignment="1">
      <alignment horizontal="center"/>
    </xf>
    <xf numFmtId="10" fontId="20" fillId="0" borderId="27" xfId="0" applyNumberFormat="1" applyFont="1" applyBorder="1"/>
    <xf numFmtId="169" fontId="20" fillId="0" borderId="24" xfId="0" applyNumberFormat="1" applyFont="1" applyBorder="1"/>
    <xf numFmtId="9" fontId="20" fillId="0" borderId="27" xfId="0" applyNumberFormat="1" applyFont="1" applyBorder="1"/>
    <xf numFmtId="10" fontId="20" fillId="0" borderId="27" xfId="2" applyNumberFormat="1" applyFont="1" applyBorder="1"/>
    <xf numFmtId="0" fontId="9" fillId="0" borderId="21" xfId="0" applyFont="1" applyBorder="1" applyAlignment="1">
      <alignment horizontal="left" indent="1"/>
    </xf>
    <xf numFmtId="0" fontId="19" fillId="0" borderId="8" xfId="0" applyFont="1" applyBorder="1"/>
    <xf numFmtId="0" fontId="5" fillId="0" borderId="23" xfId="0" applyFont="1" applyBorder="1"/>
    <xf numFmtId="0" fontId="5" fillId="0" borderId="12" xfId="0" applyFont="1" applyBorder="1" applyAlignment="1">
      <alignment horizontal="right"/>
    </xf>
    <xf numFmtId="0" fontId="5" fillId="0" borderId="28" xfId="0" applyFont="1" applyBorder="1" applyAlignment="1">
      <alignment horizontal="right"/>
    </xf>
    <xf numFmtId="3" fontId="20" fillId="0" borderId="26" xfId="0" applyNumberFormat="1" applyFont="1" applyBorder="1"/>
    <xf numFmtId="169" fontId="5" fillId="0" borderId="26" xfId="1" applyNumberFormat="1" applyFont="1" applyBorder="1"/>
    <xf numFmtId="0" fontId="5" fillId="0" borderId="25" xfId="0" applyFont="1" applyBorder="1"/>
    <xf numFmtId="0" fontId="17" fillId="0" borderId="25" xfId="0" applyFont="1" applyBorder="1" applyAlignment="1">
      <alignment horizontal="left" indent="2"/>
    </xf>
    <xf numFmtId="10" fontId="20" fillId="0" borderId="26" xfId="0" applyNumberFormat="1" applyFont="1" applyBorder="1"/>
    <xf numFmtId="0" fontId="16" fillId="0" borderId="21" xfId="0" applyFont="1" applyBorder="1" applyAlignment="1">
      <alignment horizontal="left" indent="2"/>
    </xf>
    <xf numFmtId="0" fontId="13" fillId="0" borderId="12" xfId="0" applyFont="1" applyBorder="1"/>
    <xf numFmtId="169" fontId="13" fillId="0" borderId="28" xfId="1" applyNumberFormat="1" applyFont="1" applyBorder="1"/>
    <xf numFmtId="164" fontId="12" fillId="5" borderId="0" xfId="0" applyNumberFormat="1" applyFont="1" applyFill="1" applyAlignment="1">
      <alignment horizontal="right"/>
    </xf>
    <xf numFmtId="164" fontId="21" fillId="5" borderId="0" xfId="0" applyNumberFormat="1" applyFont="1" applyFill="1" applyAlignment="1">
      <alignment horizontal="right"/>
    </xf>
    <xf numFmtId="164" fontId="22" fillId="5" borderId="0" xfId="0" applyNumberFormat="1" applyFont="1" applyFill="1" applyAlignment="1">
      <alignment horizontal="right"/>
    </xf>
    <xf numFmtId="165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 applyAlignment="1">
      <alignment horizontal="right"/>
    </xf>
    <xf numFmtId="164" fontId="22" fillId="4" borderId="0" xfId="0" applyNumberFormat="1" applyFont="1" applyFill="1" applyAlignment="1">
      <alignment horizontal="right"/>
    </xf>
    <xf numFmtId="43" fontId="5" fillId="0" borderId="0" xfId="1" applyFont="1"/>
    <xf numFmtId="1" fontId="5" fillId="0" borderId="25" xfId="0" applyNumberFormat="1" applyFont="1" applyBorder="1"/>
    <xf numFmtId="9" fontId="20" fillId="0" borderId="26" xfId="0" applyNumberFormat="1" applyFont="1" applyBorder="1"/>
    <xf numFmtId="0" fontId="23" fillId="6" borderId="0" xfId="0" applyFont="1" applyFill="1"/>
    <xf numFmtId="0" fontId="8" fillId="6" borderId="0" xfId="0" applyFont="1" applyFill="1"/>
    <xf numFmtId="9" fontId="24" fillId="0" borderId="0" xfId="2" applyFont="1"/>
    <xf numFmtId="43" fontId="5" fillId="0" borderId="0" xfId="0" applyNumberFormat="1" applyFont="1"/>
    <xf numFmtId="9" fontId="20" fillId="0" borderId="0" xfId="2" applyFont="1"/>
    <xf numFmtId="9" fontId="25" fillId="0" borderId="0" xfId="2" applyFont="1"/>
    <xf numFmtId="169" fontId="20" fillId="0" borderId="0" xfId="1" applyNumberFormat="1" applyFont="1"/>
    <xf numFmtId="2" fontId="20" fillId="0" borderId="0" xfId="0" applyNumberFormat="1" applyFont="1"/>
    <xf numFmtId="3" fontId="20" fillId="0" borderId="0" xfId="0" applyNumberFormat="1" applyFont="1"/>
    <xf numFmtId="43" fontId="20" fillId="0" borderId="0" xfId="0" applyNumberFormat="1" applyFont="1"/>
    <xf numFmtId="0" fontId="26" fillId="6" borderId="0" xfId="0" applyFont="1" applyFill="1" applyAlignment="1">
      <alignment horizontal="left"/>
    </xf>
    <xf numFmtId="0" fontId="27" fillId="6" borderId="0" xfId="0" applyFont="1" applyFill="1" applyAlignment="1">
      <alignment horizontal="left"/>
    </xf>
    <xf numFmtId="0" fontId="24" fillId="0" borderId="0" xfId="0" applyFont="1"/>
    <xf numFmtId="0" fontId="28" fillId="0" borderId="0" xfId="0" applyFont="1"/>
    <xf numFmtId="0" fontId="28" fillId="0" borderId="0" xfId="0" applyFont="1" applyAlignment="1">
      <alignment horizontal="left" indent="1"/>
    </xf>
    <xf numFmtId="0" fontId="18" fillId="0" borderId="10" xfId="0" applyFont="1" applyBorder="1"/>
    <xf numFmtId="169" fontId="18" fillId="0" borderId="10" xfId="1" applyNumberFormat="1" applyFont="1" applyBorder="1"/>
    <xf numFmtId="169" fontId="20" fillId="0" borderId="10" xfId="0" applyNumberFormat="1" applyFont="1" applyBorder="1"/>
    <xf numFmtId="0" fontId="20" fillId="0" borderId="12" xfId="0" applyFont="1" applyBorder="1"/>
    <xf numFmtId="0" fontId="18" fillId="0" borderId="15" xfId="0" applyFont="1" applyBorder="1"/>
    <xf numFmtId="9" fontId="18" fillId="0" borderId="15" xfId="2" applyFont="1" applyBorder="1"/>
    <xf numFmtId="169" fontId="20" fillId="0" borderId="12" xfId="1" applyNumberFormat="1" applyFont="1" applyBorder="1"/>
    <xf numFmtId="9" fontId="20" fillId="0" borderId="10" xfId="2" applyFont="1" applyBorder="1"/>
    <xf numFmtId="9" fontId="20" fillId="0" borderId="8" xfId="2" applyFont="1" applyBorder="1"/>
    <xf numFmtId="0" fontId="26" fillId="8" borderId="12" xfId="0" applyFont="1" applyFill="1" applyBorder="1"/>
    <xf numFmtId="2" fontId="20" fillId="0" borderId="26" xfId="0" applyNumberFormat="1" applyFont="1" applyBorder="1"/>
    <xf numFmtId="0" fontId="29" fillId="6" borderId="0" xfId="0" applyFont="1" applyFill="1" applyAlignment="1">
      <alignment horizontal="center"/>
    </xf>
    <xf numFmtId="0" fontId="11" fillId="8" borderId="0" xfId="0" applyFont="1" applyFill="1" applyAlignment="1">
      <alignment horizontal="right"/>
    </xf>
    <xf numFmtId="0" fontId="8" fillId="7" borderId="0" xfId="0" applyFont="1" applyFill="1" applyAlignment="1">
      <alignment horizontal="right"/>
    </xf>
    <xf numFmtId="0" fontId="6" fillId="8" borderId="0" xfId="0" applyFont="1" applyFill="1" applyAlignment="1">
      <alignment horizontal="left"/>
    </xf>
    <xf numFmtId="9" fontId="24" fillId="0" borderId="6" xfId="0" applyNumberFormat="1" applyFont="1" applyBorder="1"/>
    <xf numFmtId="9" fontId="24" fillId="0" borderId="0" xfId="0" applyNumberFormat="1" applyFont="1"/>
    <xf numFmtId="9" fontId="24" fillId="0" borderId="1" xfId="0" applyNumberFormat="1" applyFont="1" applyBorder="1"/>
    <xf numFmtId="9" fontId="24" fillId="0" borderId="6" xfId="2" applyFont="1" applyBorder="1"/>
    <xf numFmtId="9" fontId="24" fillId="0" borderId="1" xfId="2" applyFont="1" applyBorder="1"/>
    <xf numFmtId="9" fontId="24" fillId="0" borderId="8" xfId="0" applyNumberFormat="1" applyFont="1" applyBorder="1"/>
    <xf numFmtId="9" fontId="24" fillId="0" borderId="13" xfId="0" applyNumberFormat="1" applyFont="1" applyBorder="1"/>
    <xf numFmtId="0" fontId="24" fillId="0" borderId="6" xfId="0" applyFont="1" applyBorder="1"/>
    <xf numFmtId="0" fontId="24" fillId="0" borderId="1" xfId="0" applyFont="1" applyBorder="1"/>
    <xf numFmtId="0" fontId="19" fillId="9" borderId="0" xfId="0" applyFont="1" applyFill="1" applyAlignment="1">
      <alignment horizontal="center"/>
    </xf>
    <xf numFmtId="0" fontId="20" fillId="7" borderId="0" xfId="0" applyFont="1" applyFill="1" applyAlignment="1">
      <alignment horizontal="center"/>
    </xf>
    <xf numFmtId="0" fontId="18" fillId="7" borderId="23" xfId="0" applyFont="1" applyFill="1" applyBorder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18" fillId="7" borderId="28" xfId="0" applyFont="1" applyFill="1" applyBorder="1" applyAlignment="1">
      <alignment horizontal="center"/>
    </xf>
    <xf numFmtId="0" fontId="19" fillId="7" borderId="23" xfId="0" applyFont="1" applyFill="1" applyBorder="1" applyAlignment="1">
      <alignment horizontal="center"/>
    </xf>
    <xf numFmtId="0" fontId="19" fillId="7" borderId="12" xfId="0" applyFont="1" applyFill="1" applyBorder="1" applyAlignment="1">
      <alignment horizontal="center"/>
    </xf>
    <xf numFmtId="0" fontId="19" fillId="7" borderId="28" xfId="0" applyFont="1" applyFill="1" applyBorder="1" applyAlignment="1">
      <alignment horizontal="center"/>
    </xf>
    <xf numFmtId="0" fontId="18" fillId="8" borderId="0" xfId="0" applyFont="1" applyFill="1" applyAlignment="1">
      <alignment horizontal="center"/>
    </xf>
    <xf numFmtId="0" fontId="20" fillId="0" borderId="19" xfId="0" applyFont="1" applyBorder="1"/>
    <xf numFmtId="0" fontId="20" fillId="0" borderId="0" xfId="0" applyFont="1" applyAlignment="1"/>
    <xf numFmtId="2" fontId="20" fillId="0" borderId="19" xfId="0" applyNumberFormat="1" applyFont="1" applyBorder="1"/>
    <xf numFmtId="0" fontId="30" fillId="0" borderId="0" xfId="0" applyFont="1" applyAlignment="1">
      <alignment horizontal="left" indent="1"/>
    </xf>
    <xf numFmtId="0" fontId="30" fillId="0" borderId="0" xfId="0" applyFont="1"/>
    <xf numFmtId="9" fontId="30" fillId="0" borderId="0" xfId="2" applyFont="1"/>
    <xf numFmtId="9" fontId="20" fillId="0" borderId="19" xfId="2" applyFont="1" applyBorder="1"/>
    <xf numFmtId="0" fontId="20" fillId="9" borderId="0" xfId="0" applyFont="1" applyFill="1"/>
    <xf numFmtId="0" fontId="31" fillId="9" borderId="0" xfId="0" applyFont="1" applyFill="1" applyAlignment="1">
      <alignment horizontal="right" vertical="top"/>
    </xf>
    <xf numFmtId="9" fontId="20" fillId="0" borderId="19" xfId="0" applyNumberFormat="1" applyFont="1" applyBorder="1"/>
    <xf numFmtId="43" fontId="20" fillId="0" borderId="19" xfId="0" applyNumberFormat="1" applyFont="1" applyBorder="1"/>
    <xf numFmtId="0" fontId="20" fillId="0" borderId="9" xfId="0" applyFont="1" applyBorder="1" applyAlignment="1">
      <alignment horizontal="right"/>
    </xf>
    <xf numFmtId="0" fontId="20" fillId="0" borderId="29" xfId="0" applyFont="1" applyBorder="1" applyAlignment="1">
      <alignment horizontal="right"/>
    </xf>
    <xf numFmtId="9" fontId="30" fillId="0" borderId="13" xfId="2" applyFont="1" applyBorder="1"/>
    <xf numFmtId="169" fontId="32" fillId="0" borderId="14" xfId="1" applyNumberFormat="1" applyFont="1" applyBorder="1"/>
    <xf numFmtId="169" fontId="32" fillId="0" borderId="0" xfId="1" applyNumberFormat="1" applyFont="1"/>
    <xf numFmtId="169" fontId="32" fillId="0" borderId="13" xfId="1" applyNumberFormat="1" applyFont="1" applyBorder="1"/>
    <xf numFmtId="0" fontId="33" fillId="0" borderId="0" xfId="0" applyFont="1" applyAlignment="1">
      <alignment horizontal="left" indent="1"/>
    </xf>
    <xf numFmtId="166" fontId="17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5" fontId="15" fillId="0" borderId="0" xfId="0" applyNumberFormat="1" applyFont="1" applyAlignment="1">
      <alignment horizontal="right"/>
    </xf>
    <xf numFmtId="167" fontId="15" fillId="0" borderId="0" xfId="0" applyNumberFormat="1" applyFont="1" applyAlignment="1">
      <alignment horizontal="right"/>
    </xf>
    <xf numFmtId="164" fontId="8" fillId="4" borderId="0" xfId="0" applyNumberFormat="1" applyFont="1" applyFill="1" applyAlignment="1">
      <alignment horizontal="right"/>
    </xf>
    <xf numFmtId="166" fontId="34" fillId="0" borderId="0" xfId="0" applyNumberFormat="1" applyFont="1" applyAlignment="1">
      <alignment horizontal="right"/>
    </xf>
    <xf numFmtId="166" fontId="34" fillId="5" borderId="0" xfId="0" applyNumberFormat="1" applyFont="1" applyFill="1" applyAlignment="1">
      <alignment horizontal="right"/>
    </xf>
    <xf numFmtId="166" fontId="35" fillId="0" borderId="0" xfId="0" applyNumberFormat="1" applyFont="1" applyAlignment="1">
      <alignment horizontal="right"/>
    </xf>
    <xf numFmtId="166" fontId="35" fillId="5" borderId="0" xfId="0" applyNumberFormat="1" applyFont="1" applyFill="1" applyAlignment="1">
      <alignment horizontal="right"/>
    </xf>
    <xf numFmtId="166" fontId="36" fillId="5" borderId="0" xfId="0" applyNumberFormat="1" applyFont="1" applyFill="1" applyAlignment="1">
      <alignment horizontal="right"/>
    </xf>
    <xf numFmtId="0" fontId="6" fillId="8" borderId="0" xfId="0" applyFont="1" applyFill="1"/>
    <xf numFmtId="164" fontId="6" fillId="8" borderId="0" xfId="0" applyNumberFormat="1" applyFont="1" applyFill="1"/>
    <xf numFmtId="164" fontId="37" fillId="8" borderId="0" xfId="0" applyNumberFormat="1" applyFont="1" applyFill="1" applyAlignment="1">
      <alignment horizontal="right"/>
    </xf>
    <xf numFmtId="0" fontId="15" fillId="0" borderId="0" xfId="0" applyFont="1" applyAlignment="1">
      <alignment horizontal="left" indent="2"/>
    </xf>
    <xf numFmtId="0" fontId="17" fillId="0" borderId="0" xfId="0" applyFont="1" applyAlignment="1">
      <alignment horizontal="left" indent="2"/>
    </xf>
    <xf numFmtId="173" fontId="20" fillId="0" borderId="26" xfId="2" applyNumberFormat="1" applyFont="1" applyBorder="1"/>
    <xf numFmtId="169" fontId="5" fillId="0" borderId="2" xfId="1" applyNumberFormat="1" applyFont="1" applyBorder="1"/>
    <xf numFmtId="169" fontId="5" fillId="0" borderId="7" xfId="1" applyNumberFormat="1" applyFont="1" applyBorder="1"/>
    <xf numFmtId="0" fontId="20" fillId="0" borderId="25" xfId="0" applyFont="1" applyBorder="1" applyAlignment="1">
      <alignment horizontal="center"/>
    </xf>
    <xf numFmtId="0" fontId="20" fillId="0" borderId="8" xfId="0" applyFont="1" applyBorder="1" applyAlignment="1">
      <alignment horizontal="center"/>
    </xf>
  </cellXfs>
  <cellStyles count="3">
    <cellStyle name="Comma" xfId="1" xr:uid="{00000000-0005-0000-0000-000000000000}"/>
    <cellStyle name="Normal" xfId="0" builtinId="0"/>
    <cellStyle name="Per cent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9A34-A7A9-5E40-9FBE-8CC15C5E1B2A}">
  <dimension ref="B1:L22"/>
  <sheetViews>
    <sheetView showGridLines="0" workbookViewId="0">
      <selection activeCell="C9" sqref="C9"/>
    </sheetView>
  </sheetViews>
  <sheetFormatPr baseColWidth="10" defaultRowHeight="16"/>
  <cols>
    <col min="1" max="1" width="4.33203125" style="113" customWidth="1"/>
    <col min="2" max="2" width="22.1640625" style="113" bestFit="1" customWidth="1"/>
    <col min="3" max="3" width="4.5" style="113" customWidth="1"/>
    <col min="4" max="6" width="11.5" style="113" bestFit="1" customWidth="1"/>
    <col min="7" max="16384" width="10.83203125" style="113"/>
  </cols>
  <sheetData>
    <row r="1" spans="2:12">
      <c r="B1" s="190" t="s">
        <v>307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</row>
    <row r="2" spans="2:12">
      <c r="B2" s="183" t="s">
        <v>308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</row>
    <row r="5" spans="2:12">
      <c r="B5" s="184" t="s">
        <v>309</v>
      </c>
      <c r="C5" s="185"/>
      <c r="D5" s="185"/>
      <c r="E5" s="186"/>
      <c r="G5" s="187" t="s">
        <v>312</v>
      </c>
      <c r="H5" s="188"/>
      <c r="I5" s="188"/>
      <c r="J5" s="188"/>
      <c r="K5" s="188"/>
      <c r="L5" s="189"/>
    </row>
    <row r="7" spans="2:12">
      <c r="B7" s="113" t="s">
        <v>310</v>
      </c>
      <c r="E7" s="191">
        <f>DCF!D78</f>
        <v>393.82</v>
      </c>
      <c r="G7" s="192" t="s">
        <v>313</v>
      </c>
      <c r="H7" s="192"/>
      <c r="I7" s="192"/>
      <c r="J7" s="192"/>
      <c r="K7" s="192"/>
    </row>
    <row r="8" spans="2:12">
      <c r="I8" s="203" t="s">
        <v>26</v>
      </c>
      <c r="J8" s="202" t="s">
        <v>27</v>
      </c>
      <c r="K8" s="202" t="s">
        <v>28</v>
      </c>
      <c r="L8" s="202" t="s">
        <v>29</v>
      </c>
    </row>
    <row r="9" spans="2:12">
      <c r="B9" s="113" t="s">
        <v>321</v>
      </c>
      <c r="E9" s="193">
        <f>DCF!N60</f>
        <v>716.66093836551022</v>
      </c>
      <c r="G9" s="113" t="s">
        <v>314</v>
      </c>
      <c r="I9" s="149">
        <f>'Simplified Model'!G8</f>
        <v>281724</v>
      </c>
      <c r="J9" s="205">
        <f>'Simplified Model'!H8</f>
        <v>323982.59999999998</v>
      </c>
      <c r="K9" s="206">
        <f>'Simplified Model'!I8</f>
        <v>372579.98999999993</v>
      </c>
      <c r="L9" s="206">
        <f>'Simplified Model'!J8</f>
        <v>428466.98849999986</v>
      </c>
    </row>
    <row r="10" spans="2:12">
      <c r="G10" s="194" t="s">
        <v>3</v>
      </c>
      <c r="H10" s="195"/>
      <c r="I10" s="196">
        <f>'Simplified Model'!G9</f>
        <v>0.14932156232406713</v>
      </c>
      <c r="J10" s="204">
        <f>'Simplified Model'!H9</f>
        <v>0.15</v>
      </c>
      <c r="K10" s="196">
        <f>'Simplified Model'!I9</f>
        <v>0.15</v>
      </c>
      <c r="L10" s="196">
        <f>'Simplified Model'!J9</f>
        <v>0.15</v>
      </c>
    </row>
    <row r="11" spans="2:12">
      <c r="B11" s="113" t="s">
        <v>311</v>
      </c>
      <c r="E11" s="197">
        <f>(E9-E7)/E7</f>
        <v>0.81976775777134281</v>
      </c>
      <c r="G11" s="113" t="s">
        <v>315</v>
      </c>
      <c r="I11" s="149">
        <f>'Simplified Model'!G19</f>
        <v>128528</v>
      </c>
      <c r="J11" s="207">
        <f>'Simplified Model'!H19</f>
        <v>150651.90900000001</v>
      </c>
      <c r="K11" s="206">
        <f>'Simplified Model'!I19</f>
        <v>172504.53536999994</v>
      </c>
      <c r="L11" s="206">
        <f>'Simplified Model'!J19</f>
        <v>199237.14965249994</v>
      </c>
    </row>
    <row r="12" spans="2:12">
      <c r="E12" s="147"/>
      <c r="G12" s="194" t="s">
        <v>316</v>
      </c>
      <c r="H12" s="195"/>
      <c r="I12" s="196">
        <f>'Simplified Model'!G20</f>
        <v>0.45621956240859851</v>
      </c>
      <c r="J12" s="204">
        <f>'Simplified Model'!H20</f>
        <v>0.46500000000000008</v>
      </c>
      <c r="K12" s="196">
        <f>'Simplified Model'!I20</f>
        <v>0.46299999999999991</v>
      </c>
      <c r="L12" s="196">
        <f>'Simplified Model'!J20</f>
        <v>0.46500000000000002</v>
      </c>
    </row>
    <row r="13" spans="2:12">
      <c r="E13" s="147"/>
      <c r="G13" s="194"/>
      <c r="H13" s="195"/>
      <c r="I13" s="196"/>
      <c r="J13" s="196"/>
      <c r="K13" s="196"/>
      <c r="L13" s="196"/>
    </row>
    <row r="14" spans="2:12">
      <c r="B14" s="187" t="s">
        <v>320</v>
      </c>
      <c r="C14" s="188"/>
      <c r="D14" s="188"/>
      <c r="E14" s="189"/>
    </row>
    <row r="15" spans="2:12" s="198" customFormat="1">
      <c r="B15" s="182"/>
      <c r="C15" s="182"/>
      <c r="D15" s="182"/>
      <c r="E15" s="199">
        <v>2025</v>
      </c>
    </row>
    <row r="16" spans="2:12">
      <c r="B16" s="113" t="s">
        <v>317</v>
      </c>
      <c r="E16" s="200">
        <f>Ratios!H22</f>
        <v>0.30214782226297571</v>
      </c>
    </row>
    <row r="18" spans="2:5">
      <c r="B18" s="113" t="s">
        <v>179</v>
      </c>
      <c r="E18" s="200">
        <f>Ratios!H27</f>
        <v>0.29647227341409521</v>
      </c>
    </row>
    <row r="20" spans="2:5">
      <c r="B20" s="113" t="s">
        <v>318</v>
      </c>
      <c r="E20" s="201">
        <f>Ratios!H31</f>
        <v>10.410868793571012</v>
      </c>
    </row>
    <row r="22" spans="2:5">
      <c r="B22" s="113" t="s">
        <v>319</v>
      </c>
      <c r="E22" s="193">
        <f>Ratios!H32</f>
        <v>28.872434017595307</v>
      </c>
    </row>
  </sheetData>
  <mergeCells count="5">
    <mergeCell ref="B5:E5"/>
    <mergeCell ref="B14:E14"/>
    <mergeCell ref="G5:L5"/>
    <mergeCell ref="B1:L1"/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54"/>
  <sheetViews>
    <sheetView showGridLines="0" tabSelected="1" topLeftCell="A28" workbookViewId="0">
      <selection activeCell="N54" sqref="N54"/>
    </sheetView>
  </sheetViews>
  <sheetFormatPr baseColWidth="10" defaultColWidth="8.83203125" defaultRowHeight="14" outlineLevelRow="1"/>
  <cols>
    <col min="1" max="1" width="4.5" style="5" customWidth="1"/>
    <col min="2" max="2" width="58" style="5" customWidth="1"/>
    <col min="3" max="3" width="6.33203125" style="5" customWidth="1"/>
    <col min="4" max="4" width="6.5" style="5" customWidth="1"/>
    <col min="5" max="9" width="13" style="5" customWidth="1"/>
    <col min="10" max="14" width="12.5" style="5" customWidth="1"/>
    <col min="15" max="16384" width="8.83203125" style="5"/>
  </cols>
  <sheetData>
    <row r="2" spans="2:14" ht="28">
      <c r="B2" s="169" t="s">
        <v>0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</row>
    <row r="3" spans="2:14">
      <c r="B3" s="64" t="s">
        <v>1</v>
      </c>
      <c r="C3" s="64"/>
      <c r="D3" s="64"/>
      <c r="E3" s="64"/>
      <c r="F3" s="64"/>
      <c r="G3" s="64"/>
      <c r="H3" s="64"/>
      <c r="I3" s="64"/>
    </row>
    <row r="4" spans="2:14">
      <c r="B4" s="6"/>
      <c r="C4" s="6"/>
      <c r="D4" s="6"/>
      <c r="E4" s="170" t="s">
        <v>22</v>
      </c>
      <c r="F4" s="170" t="s">
        <v>23</v>
      </c>
      <c r="G4" s="170" t="s">
        <v>24</v>
      </c>
      <c r="H4" s="170" t="s">
        <v>25</v>
      </c>
      <c r="I4" s="170" t="s">
        <v>26</v>
      </c>
      <c r="J4" s="171" t="s">
        <v>27</v>
      </c>
      <c r="K4" s="171" t="s">
        <v>28</v>
      </c>
      <c r="L4" s="171" t="s">
        <v>29</v>
      </c>
      <c r="M4" s="171" t="s">
        <v>30</v>
      </c>
      <c r="N4" s="171" t="s">
        <v>31</v>
      </c>
    </row>
    <row r="5" spans="2:14">
      <c r="B5" s="7" t="s">
        <v>2</v>
      </c>
      <c r="C5" s="7"/>
      <c r="D5" s="7"/>
      <c r="E5" s="6"/>
      <c r="F5" s="6"/>
      <c r="G5" s="6"/>
      <c r="H5" s="6"/>
      <c r="I5" s="6"/>
      <c r="J5" s="35"/>
    </row>
    <row r="6" spans="2:14" ht="16">
      <c r="B6" s="8" t="s">
        <v>3</v>
      </c>
      <c r="C6" s="8"/>
      <c r="D6" s="8"/>
      <c r="E6" s="6"/>
      <c r="F6" s="23">
        <f>F33/E33-1</f>
        <v>0.17956070629670173</v>
      </c>
      <c r="G6" s="23">
        <f t="shared" ref="G6:I6" si="0">G33/F33-1</f>
        <v>6.8820295556564215E-2</v>
      </c>
      <c r="H6" s="23">
        <f t="shared" si="0"/>
        <v>0.1566996201307127</v>
      </c>
      <c r="I6" s="23">
        <f t="shared" si="0"/>
        <v>0.14932156232406713</v>
      </c>
      <c r="J6" s="173">
        <v>0.15</v>
      </c>
      <c r="K6" s="174">
        <v>0.15</v>
      </c>
      <c r="L6" s="174">
        <v>0.15</v>
      </c>
      <c r="M6" s="174">
        <v>0.15</v>
      </c>
      <c r="N6" s="174">
        <v>0.15</v>
      </c>
    </row>
    <row r="7" spans="2:14">
      <c r="B7" s="222" t="s">
        <v>4</v>
      </c>
      <c r="C7" s="22"/>
      <c r="D7" s="22"/>
      <c r="E7" s="23">
        <f>E31/E33</f>
        <v>0.4228380372185998</v>
      </c>
      <c r="F7" s="23">
        <f t="shared" ref="F7:I7" si="1">F31/F33</f>
        <v>0.36683310637010136</v>
      </c>
      <c r="G7" s="23">
        <f t="shared" si="1"/>
        <v>0.30530637283816625</v>
      </c>
      <c r="H7" s="23">
        <f t="shared" si="1"/>
        <v>0.26424800711482443</v>
      </c>
      <c r="I7" s="23">
        <f t="shared" si="1"/>
        <v>0.2269810168817708</v>
      </c>
      <c r="J7" s="173">
        <v>0.23</v>
      </c>
      <c r="K7" s="175">
        <v>0.23</v>
      </c>
      <c r="L7" s="175">
        <f t="shared" ref="L7:N7" si="2">AVERAGE(I7:K7)</f>
        <v>0.22899367229392362</v>
      </c>
      <c r="M7" s="175">
        <f t="shared" si="2"/>
        <v>0.22966455743130787</v>
      </c>
      <c r="N7" s="175">
        <f t="shared" si="2"/>
        <v>0.22955274324174382</v>
      </c>
    </row>
    <row r="8" spans="2:14">
      <c r="B8" s="222" t="s">
        <v>5</v>
      </c>
      <c r="C8" s="22"/>
      <c r="D8" s="22"/>
      <c r="E8" s="23">
        <f>E32/E33</f>
        <v>0.5771619627814002</v>
      </c>
      <c r="F8" s="23">
        <f t="shared" ref="F8:I8" si="3">F32/F33</f>
        <v>0.63316689362989864</v>
      </c>
      <c r="G8" s="23">
        <f t="shared" si="3"/>
        <v>0.6946936271618338</v>
      </c>
      <c r="H8" s="23">
        <f t="shared" si="3"/>
        <v>0.73575199288517557</v>
      </c>
      <c r="I8" s="23">
        <f t="shared" si="3"/>
        <v>0.77301898311822914</v>
      </c>
      <c r="J8" s="173">
        <v>0.77</v>
      </c>
      <c r="K8" s="175">
        <v>0.77</v>
      </c>
      <c r="L8" s="175">
        <v>0.77</v>
      </c>
      <c r="M8" s="175">
        <v>0.77</v>
      </c>
      <c r="N8" s="175">
        <v>0.77</v>
      </c>
    </row>
    <row r="9" spans="2:14" ht="16">
      <c r="B9" s="8" t="s">
        <v>6</v>
      </c>
      <c r="C9" s="8"/>
      <c r="D9" s="8"/>
      <c r="E9" s="23">
        <f>SUM(E34:E35)/SUM(E31:E32)</f>
        <v>0.31074199228975297</v>
      </c>
      <c r="F9" s="23">
        <f t="shared" ref="F9:I9" si="4">SUM(F34:F35)/SUM(F31:F32)</f>
        <v>0.31598325515710901</v>
      </c>
      <c r="G9" s="23">
        <f t="shared" si="4"/>
        <v>0.31079914116508978</v>
      </c>
      <c r="H9" s="23">
        <f t="shared" si="4"/>
        <v>0.30235556172028621</v>
      </c>
      <c r="I9" s="23">
        <f t="shared" si="4"/>
        <v>0.31176257613834818</v>
      </c>
      <c r="J9" s="173">
        <v>0.31</v>
      </c>
      <c r="K9" s="174">
        <v>0.32</v>
      </c>
      <c r="L9" s="174">
        <v>0.33</v>
      </c>
      <c r="M9" s="174">
        <v>0.32</v>
      </c>
      <c r="N9" s="174">
        <v>0.3</v>
      </c>
    </row>
    <row r="10" spans="2:14">
      <c r="B10" s="222" t="s">
        <v>7</v>
      </c>
      <c r="C10" s="22"/>
      <c r="D10" s="22"/>
      <c r="E10" s="23">
        <f>E34/E33</f>
        <v>0.1083896530388844</v>
      </c>
      <c r="F10" s="23">
        <f t="shared" ref="F10:I10" si="5">F34/F33</f>
        <v>9.6151712311494428E-2</v>
      </c>
      <c r="G10" s="23">
        <f t="shared" si="5"/>
        <v>8.4014817261637925E-2</v>
      </c>
      <c r="H10" s="23">
        <f t="shared" si="5"/>
        <v>6.230366919329966E-2</v>
      </c>
      <c r="I10" s="23">
        <f t="shared" si="5"/>
        <v>4.792278968068038E-2</v>
      </c>
      <c r="J10" s="173">
        <v>0.05</v>
      </c>
      <c r="K10" s="175">
        <v>0.05</v>
      </c>
      <c r="L10" s="175">
        <v>0.05</v>
      </c>
      <c r="M10" s="175">
        <v>0.05</v>
      </c>
      <c r="N10" s="175">
        <v>0.05</v>
      </c>
    </row>
    <row r="11" spans="2:14">
      <c r="B11" s="222" t="s">
        <v>8</v>
      </c>
      <c r="C11" s="22"/>
      <c r="D11" s="22"/>
      <c r="E11" s="23">
        <f>E35/E33</f>
        <v>0.2023523392508686</v>
      </c>
      <c r="F11" s="23">
        <f t="shared" ref="F11:I11" si="6">F35/F33</f>
        <v>0.21983154284561457</v>
      </c>
      <c r="G11" s="23">
        <f t="shared" si="6"/>
        <v>0.22678432390345185</v>
      </c>
      <c r="H11" s="23">
        <f t="shared" si="6"/>
        <v>0.24005189252698655</v>
      </c>
      <c r="I11" s="23">
        <f t="shared" si="6"/>
        <v>0.26383978645766781</v>
      </c>
      <c r="J11" s="173">
        <v>0.27</v>
      </c>
      <c r="K11" s="174">
        <v>0.28000000000000003</v>
      </c>
      <c r="L11" s="174">
        <v>0.27</v>
      </c>
      <c r="M11" s="174">
        <v>0.26</v>
      </c>
      <c r="N11" s="174">
        <v>0.25</v>
      </c>
    </row>
    <row r="12" spans="2:14" ht="16">
      <c r="B12" s="9" t="s">
        <v>9</v>
      </c>
      <c r="C12" s="9"/>
      <c r="D12" s="9"/>
      <c r="E12" s="23">
        <f>SUM(E38:E40)/E33</f>
        <v>0.27330921898053401</v>
      </c>
      <c r="F12" s="23">
        <f t="shared" ref="F12:I12" si="7">SUM(F38:F40)/F33</f>
        <v>0.26346396328239269</v>
      </c>
      <c r="G12" s="23">
        <f t="shared" si="7"/>
        <v>0.27147205247386924</v>
      </c>
      <c r="H12" s="23">
        <f t="shared" si="7"/>
        <v>0.25120144254697663</v>
      </c>
      <c r="I12" s="23">
        <f t="shared" si="7"/>
        <v>0.23201786145305334</v>
      </c>
      <c r="J12" s="176">
        <f>SUM(J38:J40)/J33</f>
        <v>0.22499999999999998</v>
      </c>
      <c r="K12" s="177">
        <f t="shared" ref="K12:N12" si="8">SUM(K38:K40)/K33</f>
        <v>0.21699999999999997</v>
      </c>
      <c r="L12" s="177">
        <f t="shared" si="8"/>
        <v>0.20500000000000002</v>
      </c>
      <c r="M12" s="177">
        <f t="shared" si="8"/>
        <v>0.19999999999999998</v>
      </c>
      <c r="N12" s="177">
        <f t="shared" si="8"/>
        <v>0.19999999999999998</v>
      </c>
    </row>
    <row r="13" spans="2:14">
      <c r="B13" s="222" t="s">
        <v>10</v>
      </c>
      <c r="C13" s="22"/>
      <c r="D13" s="22"/>
      <c r="E13" s="23">
        <f>E38/E33</f>
        <v>0.12324496692208843</v>
      </c>
      <c r="F13" s="23">
        <f t="shared" ref="F13:I13" si="9">F38/F33</f>
        <v>0.12362939426035205</v>
      </c>
      <c r="G13" s="23">
        <f t="shared" si="9"/>
        <v>0.12832975485454073</v>
      </c>
      <c r="H13" s="23">
        <f t="shared" si="9"/>
        <v>0.12038903076835208</v>
      </c>
      <c r="I13" s="23">
        <f t="shared" si="9"/>
        <v>0.11531853871164686</v>
      </c>
      <c r="J13" s="173">
        <v>0.11</v>
      </c>
      <c r="K13" s="174">
        <v>0.107</v>
      </c>
      <c r="L13" s="174">
        <v>0.1</v>
      </c>
      <c r="M13" s="174">
        <v>0.1</v>
      </c>
      <c r="N13" s="174">
        <v>0.1</v>
      </c>
    </row>
    <row r="14" spans="2:14">
      <c r="B14" s="222" t="s">
        <v>11</v>
      </c>
      <c r="C14" s="22"/>
      <c r="D14" s="22"/>
      <c r="E14" s="23">
        <f>E39/E33</f>
        <v>0.1196813573842273</v>
      </c>
      <c r="F14" s="23">
        <f t="shared" ref="F14:I14" si="10">F39/F33</f>
        <v>0.11007716749886519</v>
      </c>
      <c r="G14" s="23">
        <f t="shared" si="10"/>
        <v>0.10739683363612769</v>
      </c>
      <c r="H14" s="23">
        <f t="shared" si="10"/>
        <v>9.9770726413785787E-2</v>
      </c>
      <c r="I14" s="23">
        <f t="shared" si="10"/>
        <v>9.1060754497309424E-2</v>
      </c>
      <c r="J14" s="176">
        <v>8.5000000000000006E-2</v>
      </c>
      <c r="K14" s="145">
        <v>0.08</v>
      </c>
      <c r="L14" s="145">
        <v>7.4999999999999997E-2</v>
      </c>
      <c r="M14" s="145">
        <v>7.0000000000000007E-2</v>
      </c>
      <c r="N14" s="145">
        <v>7.0000000000000007E-2</v>
      </c>
    </row>
    <row r="15" spans="2:14">
      <c r="B15" s="222" t="s">
        <v>12</v>
      </c>
      <c r="C15" s="22"/>
      <c r="D15" s="22"/>
      <c r="E15" s="23">
        <f>E40/E33</f>
        <v>3.0382894674218265E-2</v>
      </c>
      <c r="F15" s="23">
        <f t="shared" ref="F15:I15" si="11">F40/F33</f>
        <v>2.9757401523175468E-2</v>
      </c>
      <c r="G15" s="23">
        <f t="shared" si="11"/>
        <v>3.5745463983200811E-2</v>
      </c>
      <c r="H15" s="23">
        <f t="shared" si="11"/>
        <v>3.1041685364838735E-2</v>
      </c>
      <c r="I15" s="23">
        <f t="shared" si="11"/>
        <v>2.5638568244097059E-2</v>
      </c>
      <c r="J15" s="173">
        <v>0.03</v>
      </c>
      <c r="K15" s="175">
        <v>0.03</v>
      </c>
      <c r="L15" s="175">
        <v>0.03</v>
      </c>
      <c r="M15" s="175">
        <v>0.03</v>
      </c>
      <c r="N15" s="175">
        <v>0.03</v>
      </c>
    </row>
    <row r="16" spans="2:14" ht="16">
      <c r="B16" s="8" t="s">
        <v>13</v>
      </c>
      <c r="C16" s="8"/>
      <c r="D16" s="8"/>
      <c r="E16" s="23">
        <f>E154/E76</f>
        <v>4.6850661021687903E-2</v>
      </c>
      <c r="F16" s="23">
        <f t="shared" ref="F16:I16" si="12">F154/F76</f>
        <v>4.3863752338833134E-2</v>
      </c>
      <c r="G16" s="23">
        <f t="shared" si="12"/>
        <v>4.6868301976661107E-2</v>
      </c>
      <c r="H16" s="23">
        <f t="shared" si="12"/>
        <v>6.8754685157421294E-2</v>
      </c>
      <c r="I16" s="23">
        <f t="shared" si="12"/>
        <v>5.9399282725642558E-2</v>
      </c>
      <c r="J16" s="173">
        <v>0.05</v>
      </c>
      <c r="K16" s="178">
        <v>0.05</v>
      </c>
      <c r="L16" s="178">
        <v>0.05</v>
      </c>
      <c r="M16" s="178">
        <v>0.05</v>
      </c>
      <c r="N16" s="178">
        <v>0.05</v>
      </c>
    </row>
    <row r="17" spans="2:14" ht="16">
      <c r="B17" s="8" t="s">
        <v>14</v>
      </c>
      <c r="C17" s="8"/>
      <c r="D17" s="8"/>
      <c r="E17" s="23">
        <f>E44/E43</f>
        <v>0.13826615285083402</v>
      </c>
      <c r="F17" s="23">
        <f t="shared" ref="F17:I17" si="13">F44/F43</f>
        <v>0.13113383343685794</v>
      </c>
      <c r="G17" s="23">
        <f t="shared" si="13"/>
        <v>0.18978625253328257</v>
      </c>
      <c r="H17" s="23">
        <f t="shared" si="13"/>
        <v>0.18231326597827197</v>
      </c>
      <c r="I17" s="23">
        <f t="shared" si="13"/>
        <v>0.17629644009803683</v>
      </c>
      <c r="J17" s="173">
        <f>AVERAGE(G17:I17)</f>
        <v>0.18279865286986377</v>
      </c>
      <c r="K17" s="175">
        <f t="shared" ref="K17:N17" si="14">AVERAGE(H17:J17)</f>
        <v>0.18046945298205752</v>
      </c>
      <c r="L17" s="175">
        <f t="shared" si="14"/>
        <v>0.17985484864998602</v>
      </c>
      <c r="M17" s="175">
        <f t="shared" si="14"/>
        <v>0.1810409848339691</v>
      </c>
      <c r="N17" s="175">
        <f t="shared" si="14"/>
        <v>0.18045509548867089</v>
      </c>
    </row>
    <row r="18" spans="2:14" ht="16">
      <c r="B18" s="8" t="s">
        <v>296</v>
      </c>
      <c r="C18" s="8"/>
      <c r="D18" s="8"/>
      <c r="E18" s="23">
        <f>E42/E41</f>
        <v>1.6963212998455289E-2</v>
      </c>
      <c r="F18" s="23">
        <f t="shared" ref="F18:I18" si="15">F42/F41</f>
        <v>3.9936198025976519E-3</v>
      </c>
      <c r="G18" s="23">
        <f t="shared" si="15"/>
        <v>8.9016413813359247E-3</v>
      </c>
      <c r="H18" s="23">
        <f t="shared" si="15"/>
        <v>-1.5041166741293759E-2</v>
      </c>
      <c r="I18" s="23">
        <f t="shared" si="15"/>
        <v>-3.8131768953068593E-2</v>
      </c>
      <c r="J18" s="179">
        <v>0.02</v>
      </c>
      <c r="K18" s="178">
        <v>0.02</v>
      </c>
      <c r="L18" s="178">
        <v>0.02</v>
      </c>
      <c r="M18" s="178">
        <v>0.02</v>
      </c>
      <c r="N18" s="178">
        <v>0.02</v>
      </c>
    </row>
    <row r="19" spans="2:14" ht="16">
      <c r="B19" s="8" t="s">
        <v>15</v>
      </c>
      <c r="C19" s="8"/>
      <c r="D19" s="8"/>
      <c r="E19" s="23">
        <f>E93/E60</f>
        <v>0.19569622372938122</v>
      </c>
      <c r="F19" s="23">
        <f t="shared" ref="F19:I19" si="16">F93/F60</f>
        <v>0.19436006344256565</v>
      </c>
      <c r="G19" s="23">
        <f t="shared" si="16"/>
        <v>0.14492738469903074</v>
      </c>
      <c r="H19" s="23">
        <f t="shared" si="16"/>
        <v>0.16436931654755846</v>
      </c>
      <c r="I19" s="23">
        <f t="shared" si="16"/>
        <v>0.16662763580301124</v>
      </c>
      <c r="J19" s="173">
        <v>0.19</v>
      </c>
      <c r="K19" s="174">
        <v>0.2</v>
      </c>
      <c r="L19" s="174">
        <v>0.23499999999999999</v>
      </c>
      <c r="M19" s="174">
        <v>0.26</v>
      </c>
      <c r="N19" s="174">
        <v>0.27</v>
      </c>
    </row>
    <row r="20" spans="2:14" ht="16">
      <c r="B20" s="8" t="s">
        <v>16</v>
      </c>
      <c r="C20" s="8"/>
      <c r="D20" s="8"/>
      <c r="E20" s="24">
        <f>E56/E33*E25</f>
        <v>82.609674694207797</v>
      </c>
      <c r="F20" s="24">
        <f t="shared" ref="F20:I20" si="17">F56/F33*F25</f>
        <v>81.481136833610734</v>
      </c>
      <c r="G20" s="24">
        <f t="shared" si="17"/>
        <v>83.859660713021725</v>
      </c>
      <c r="H20" s="24">
        <f t="shared" si="17"/>
        <v>84.762934375535451</v>
      </c>
      <c r="I20" s="24">
        <f t="shared" si="17"/>
        <v>90.568517414206809</v>
      </c>
      <c r="J20" s="180">
        <v>91</v>
      </c>
      <c r="K20" s="155">
        <v>90</v>
      </c>
      <c r="L20" s="155">
        <v>90</v>
      </c>
      <c r="M20" s="155">
        <v>90</v>
      </c>
      <c r="N20" s="155">
        <v>90</v>
      </c>
    </row>
    <row r="21" spans="2:14" ht="16">
      <c r="B21" s="8" t="s">
        <v>17</v>
      </c>
      <c r="C21" s="8"/>
      <c r="D21" s="8"/>
      <c r="E21" s="24">
        <f>E57/(E34+E35)*E25</f>
        <v>18.420508500536069</v>
      </c>
      <c r="F21" s="24">
        <f t="shared" ref="F21:I21" si="18">F57/(F34+F35)*F25</f>
        <v>21.80095770151636</v>
      </c>
      <c r="G21" s="24">
        <f t="shared" si="18"/>
        <v>13.854516192703034</v>
      </c>
      <c r="H21" s="24">
        <f t="shared" si="18"/>
        <v>6.1363575033057183</v>
      </c>
      <c r="I21" s="24">
        <f t="shared" si="18"/>
        <v>3.8980542177591055</v>
      </c>
      <c r="J21" s="180">
        <v>3</v>
      </c>
      <c r="K21" s="155">
        <v>2</v>
      </c>
      <c r="L21" s="155">
        <v>2</v>
      </c>
      <c r="M21" s="155">
        <v>2</v>
      </c>
      <c r="N21" s="155">
        <v>2</v>
      </c>
    </row>
    <row r="22" spans="2:14" ht="16">
      <c r="B22" s="8" t="s">
        <v>18</v>
      </c>
      <c r="C22" s="8"/>
      <c r="D22" s="8"/>
      <c r="E22" s="24">
        <f>E68/(E34+E35)*E25</f>
        <v>105.95985219788636</v>
      </c>
      <c r="F22" s="24">
        <f t="shared" ref="F22:I22" si="19">F68/(F34+F35)*F25</f>
        <v>110.69433359936153</v>
      </c>
      <c r="G22" s="24">
        <f t="shared" si="19"/>
        <v>100.27898820278456</v>
      </c>
      <c r="H22" s="24">
        <f t="shared" si="19"/>
        <v>108.32690179992984</v>
      </c>
      <c r="I22" s="24">
        <f t="shared" si="19"/>
        <v>115.21285195432137</v>
      </c>
      <c r="J22" s="180">
        <v>115</v>
      </c>
      <c r="K22" s="155">
        <v>116</v>
      </c>
      <c r="L22" s="155">
        <v>117</v>
      </c>
      <c r="M22" s="155">
        <v>117</v>
      </c>
      <c r="N22" s="155">
        <v>117</v>
      </c>
    </row>
    <row r="23" spans="2:14" ht="16">
      <c r="B23" s="8" t="s">
        <v>19</v>
      </c>
      <c r="C23" s="8"/>
      <c r="D23" s="8"/>
      <c r="E23" s="25">
        <f>E118</f>
        <v>-20622</v>
      </c>
      <c r="F23" s="25">
        <f t="shared" ref="F23:I23" si="20">F118</f>
        <v>-23886</v>
      </c>
      <c r="G23" s="25">
        <f t="shared" si="20"/>
        <v>-28107</v>
      </c>
      <c r="H23" s="25">
        <f t="shared" si="20"/>
        <v>-44477</v>
      </c>
      <c r="I23" s="25">
        <f t="shared" si="20"/>
        <v>-64551</v>
      </c>
      <c r="J23" s="48">
        <v>-110000</v>
      </c>
      <c r="K23" s="25">
        <v>-150000</v>
      </c>
      <c r="L23" s="25">
        <v>-140000</v>
      </c>
      <c r="M23" s="25">
        <v>-120000</v>
      </c>
      <c r="N23" s="25">
        <v>-130000</v>
      </c>
    </row>
    <row r="24" spans="2:14" ht="16">
      <c r="B24" s="223" t="s">
        <v>20</v>
      </c>
      <c r="C24" s="8"/>
      <c r="D24" s="8"/>
      <c r="E24" s="23">
        <f>-E23/E33</f>
        <v>0.12268573604302509</v>
      </c>
      <c r="F24" s="23">
        <f t="shared" ref="F24:N24" si="21">-F23/F33</f>
        <v>0.12047208352246935</v>
      </c>
      <c r="G24" s="23">
        <f t="shared" si="21"/>
        <v>0.13263336715192411</v>
      </c>
      <c r="H24" s="23">
        <f t="shared" si="21"/>
        <v>0.18144842160230415</v>
      </c>
      <c r="I24" s="23">
        <f t="shared" si="21"/>
        <v>0.22912850875324786</v>
      </c>
      <c r="J24" s="49">
        <f t="shared" si="21"/>
        <v>0.33952440655763616</v>
      </c>
      <c r="K24" s="23">
        <f t="shared" si="21"/>
        <v>0.4025981105426516</v>
      </c>
      <c r="L24" s="23">
        <f t="shared" si="21"/>
        <v>0.32674629261432597</v>
      </c>
      <c r="M24" s="23">
        <f t="shared" si="21"/>
        <v>0.2435376094019821</v>
      </c>
      <c r="N24" s="23">
        <f t="shared" si="21"/>
        <v>0.22941948711780924</v>
      </c>
    </row>
    <row r="25" spans="2:14" ht="16">
      <c r="B25" s="8" t="s">
        <v>21</v>
      </c>
      <c r="C25" s="8"/>
      <c r="D25" s="8"/>
      <c r="E25" s="6">
        <v>365</v>
      </c>
      <c r="F25" s="6">
        <v>365</v>
      </c>
      <c r="G25" s="6">
        <v>365</v>
      </c>
      <c r="H25" s="6">
        <v>365</v>
      </c>
      <c r="I25" s="6">
        <v>365</v>
      </c>
      <c r="J25" s="180">
        <v>365</v>
      </c>
      <c r="K25" s="181">
        <v>365</v>
      </c>
      <c r="L25" s="181">
        <v>365</v>
      </c>
      <c r="M25" s="181">
        <v>365</v>
      </c>
      <c r="N25" s="181">
        <v>365</v>
      </c>
    </row>
    <row r="26" spans="2:14">
      <c r="B26" s="6"/>
      <c r="C26" s="6"/>
      <c r="D26" s="6"/>
      <c r="E26" s="6"/>
      <c r="F26" s="6"/>
      <c r="G26" s="6"/>
      <c r="H26" s="6"/>
      <c r="I26" s="6"/>
    </row>
    <row r="28" spans="2:14">
      <c r="B28" s="170"/>
      <c r="C28" s="170"/>
      <c r="D28" s="170"/>
      <c r="E28" s="170" t="s">
        <v>22</v>
      </c>
      <c r="F28" s="170" t="s">
        <v>23</v>
      </c>
      <c r="G28" s="170" t="s">
        <v>24</v>
      </c>
      <c r="H28" s="170" t="s">
        <v>25</v>
      </c>
      <c r="I28" s="170" t="s">
        <v>26</v>
      </c>
      <c r="J28" s="171" t="s">
        <v>27</v>
      </c>
      <c r="K28" s="171" t="s">
        <v>28</v>
      </c>
      <c r="L28" s="171" t="s">
        <v>29</v>
      </c>
      <c r="M28" s="171" t="s">
        <v>30</v>
      </c>
      <c r="N28" s="171" t="s">
        <v>31</v>
      </c>
    </row>
    <row r="29" spans="2:14">
      <c r="E29" s="10"/>
      <c r="F29" s="10"/>
      <c r="G29" s="10"/>
      <c r="H29" s="10"/>
      <c r="I29" s="10"/>
    </row>
    <row r="30" spans="2:14" ht="18">
      <c r="B30" s="172" t="s">
        <v>32</v>
      </c>
      <c r="C30" s="170"/>
      <c r="D30" s="170"/>
      <c r="E30" s="170"/>
      <c r="F30" s="170"/>
      <c r="G30" s="170"/>
      <c r="H30" s="170"/>
      <c r="I30" s="170"/>
      <c r="J30" s="171"/>
      <c r="K30" s="171"/>
      <c r="L30" s="171"/>
      <c r="M30" s="171"/>
      <c r="N30" s="171"/>
    </row>
    <row r="31" spans="2:14" hidden="1" outlineLevel="1">
      <c r="B31" s="5" t="s">
        <v>33</v>
      </c>
      <c r="E31" s="11">
        <v>71074</v>
      </c>
      <c r="F31" s="11">
        <v>72732</v>
      </c>
      <c r="G31" s="11">
        <v>64699</v>
      </c>
      <c r="H31" s="11">
        <v>64773</v>
      </c>
      <c r="I31" s="11">
        <v>63946</v>
      </c>
      <c r="J31" s="50">
        <f>J33*J7</f>
        <v>74515.997999999992</v>
      </c>
      <c r="K31" s="40">
        <f t="shared" ref="K31:N31" si="22">K33*K7</f>
        <v>85693.397699999987</v>
      </c>
      <c r="L31" s="40">
        <f t="shared" si="22"/>
        <v>98116.229153333305</v>
      </c>
      <c r="M31" s="40">
        <f t="shared" si="22"/>
        <v>113164.2334809444</v>
      </c>
      <c r="N31" s="40">
        <f t="shared" si="22"/>
        <v>130075.5092617856</v>
      </c>
    </row>
    <row r="32" spans="2:14" hidden="1" outlineLevel="1">
      <c r="B32" s="5" t="s">
        <v>34</v>
      </c>
      <c r="E32" s="11">
        <v>97014</v>
      </c>
      <c r="F32" s="11">
        <v>125538</v>
      </c>
      <c r="G32" s="11">
        <v>147216</v>
      </c>
      <c r="H32" s="11">
        <v>180349</v>
      </c>
      <c r="I32" s="11">
        <v>217778</v>
      </c>
      <c r="J32" s="50">
        <f>J33*I8</f>
        <v>250444.69999999995</v>
      </c>
      <c r="K32" s="40">
        <f t="shared" ref="K32:N32" si="23">K33*K8</f>
        <v>286886.59229999996</v>
      </c>
      <c r="L32" s="40">
        <f t="shared" si="23"/>
        <v>329919.58114499989</v>
      </c>
      <c r="M32" s="40">
        <f t="shared" si="23"/>
        <v>379407.51831674989</v>
      </c>
      <c r="N32" s="40">
        <f t="shared" si="23"/>
        <v>436318.64606426231</v>
      </c>
    </row>
    <row r="33" spans="2:14" hidden="1" outlineLevel="1">
      <c r="B33" s="12" t="s">
        <v>35</v>
      </c>
      <c r="C33" s="12"/>
      <c r="D33" s="12"/>
      <c r="E33" s="13">
        <f>SUM(E31:E32)</f>
        <v>168088</v>
      </c>
      <c r="F33" s="13">
        <f>SUM(F31:F32)</f>
        <v>198270</v>
      </c>
      <c r="G33" s="13">
        <f>SUM(G31:G32)</f>
        <v>211915</v>
      </c>
      <c r="H33" s="13">
        <f>SUM(H31:H32)</f>
        <v>245122</v>
      </c>
      <c r="I33" s="13">
        <f>SUM(I31:I32)</f>
        <v>281724</v>
      </c>
      <c r="J33" s="51">
        <f>I33*(1+J6)</f>
        <v>323982.59999999998</v>
      </c>
      <c r="K33" s="39">
        <f t="shared" ref="K33:N33" si="24">J33*(1+K6)</f>
        <v>372579.98999999993</v>
      </c>
      <c r="L33" s="39">
        <f t="shared" si="24"/>
        <v>428466.98849999986</v>
      </c>
      <c r="M33" s="39">
        <f t="shared" si="24"/>
        <v>492737.03677499981</v>
      </c>
      <c r="N33" s="39">
        <f t="shared" si="24"/>
        <v>566647.59229124978</v>
      </c>
    </row>
    <row r="34" spans="2:14" hidden="1" outlineLevel="1">
      <c r="B34" s="5" t="s">
        <v>36</v>
      </c>
      <c r="E34" s="11">
        <v>18219</v>
      </c>
      <c r="F34" s="11">
        <v>19064</v>
      </c>
      <c r="G34" s="11">
        <v>17804</v>
      </c>
      <c r="H34" s="11">
        <v>15272</v>
      </c>
      <c r="I34" s="11">
        <v>13501</v>
      </c>
      <c r="J34" s="50">
        <f>J33*J10</f>
        <v>16199.13</v>
      </c>
      <c r="K34" s="40">
        <f t="shared" ref="K34:N34" si="25">K33*K10</f>
        <v>18628.999499999998</v>
      </c>
      <c r="L34" s="40">
        <f t="shared" si="25"/>
        <v>21423.349424999993</v>
      </c>
      <c r="M34" s="40">
        <f t="shared" si="25"/>
        <v>24636.851838749993</v>
      </c>
      <c r="N34" s="40">
        <f t="shared" si="25"/>
        <v>28332.379614562491</v>
      </c>
    </row>
    <row r="35" spans="2:14" hidden="1" outlineLevel="1">
      <c r="B35" s="15" t="s">
        <v>37</v>
      </c>
      <c r="C35" s="15"/>
      <c r="D35" s="15"/>
      <c r="E35" s="16">
        <v>34013</v>
      </c>
      <c r="F35" s="16">
        <v>43586</v>
      </c>
      <c r="G35" s="16">
        <v>48059</v>
      </c>
      <c r="H35" s="16">
        <v>58842</v>
      </c>
      <c r="I35" s="16">
        <v>74330</v>
      </c>
      <c r="J35" s="50">
        <f>J33*J11</f>
        <v>87475.301999999996</v>
      </c>
      <c r="K35" s="40">
        <f t="shared" ref="K35:N35" si="26">K33*K11</f>
        <v>104322.39719999999</v>
      </c>
      <c r="L35" s="40">
        <f t="shared" si="26"/>
        <v>115686.08689499997</v>
      </c>
      <c r="M35" s="40">
        <f t="shared" si="26"/>
        <v>128111.62956149995</v>
      </c>
      <c r="N35" s="40">
        <f t="shared" si="26"/>
        <v>141661.89807281244</v>
      </c>
    </row>
    <row r="36" spans="2:14" hidden="1" outlineLevel="1">
      <c r="B36" s="17" t="s">
        <v>38</v>
      </c>
      <c r="C36" s="17"/>
      <c r="D36" s="17"/>
      <c r="E36" s="18">
        <f>SUM(E34:E35)</f>
        <v>52232</v>
      </c>
      <c r="F36" s="18">
        <f>SUM(F34:F35)</f>
        <v>62650</v>
      </c>
      <c r="G36" s="18">
        <f>SUM(G34:G35)</f>
        <v>65863</v>
      </c>
      <c r="H36" s="18">
        <f>SUM(H34:H35)</f>
        <v>74114</v>
      </c>
      <c r="I36" s="18">
        <f>SUM(I34:I35)</f>
        <v>87831</v>
      </c>
      <c r="J36" s="52">
        <f>J33*J9</f>
        <v>100434.60599999999</v>
      </c>
      <c r="K36" s="42">
        <f t="shared" ref="K36:N36" si="27">K33*K9</f>
        <v>119225.59679999998</v>
      </c>
      <c r="L36" s="42">
        <f t="shared" si="27"/>
        <v>141394.10620499996</v>
      </c>
      <c r="M36" s="42">
        <f t="shared" si="27"/>
        <v>157675.85176799993</v>
      </c>
      <c r="N36" s="42">
        <f t="shared" si="27"/>
        <v>169994.27768737494</v>
      </c>
    </row>
    <row r="37" spans="2:14" hidden="1" outlineLevel="1">
      <c r="B37" s="17" t="s">
        <v>39</v>
      </c>
      <c r="C37" s="17"/>
      <c r="D37" s="17"/>
      <c r="E37" s="18">
        <f>E33-E36</f>
        <v>115856</v>
      </c>
      <c r="F37" s="18">
        <f>F33-F36</f>
        <v>135620</v>
      </c>
      <c r="G37" s="18">
        <f>G33-G36</f>
        <v>146052</v>
      </c>
      <c r="H37" s="18">
        <f>H33-H36</f>
        <v>171008</v>
      </c>
      <c r="I37" s="18">
        <f>I33-I36</f>
        <v>193893</v>
      </c>
      <c r="J37" s="53">
        <f t="shared" ref="J37:N37" si="28">J33-J36</f>
        <v>223547.99400000001</v>
      </c>
      <c r="K37" s="18">
        <f t="shared" si="28"/>
        <v>253354.39319999993</v>
      </c>
      <c r="L37" s="18">
        <f t="shared" si="28"/>
        <v>287072.8822949999</v>
      </c>
      <c r="M37" s="18">
        <f t="shared" si="28"/>
        <v>335061.18500699988</v>
      </c>
      <c r="N37" s="18">
        <f t="shared" si="28"/>
        <v>396653.31460387481</v>
      </c>
    </row>
    <row r="38" spans="2:14" hidden="1" outlineLevel="1">
      <c r="B38" s="5" t="s">
        <v>40</v>
      </c>
      <c r="E38" s="11">
        <v>20716</v>
      </c>
      <c r="F38" s="11">
        <v>24512</v>
      </c>
      <c r="G38" s="11">
        <v>27195</v>
      </c>
      <c r="H38" s="11">
        <v>29510</v>
      </c>
      <c r="I38" s="11">
        <v>32488</v>
      </c>
      <c r="J38" s="50">
        <f>J33*J13</f>
        <v>35638.085999999996</v>
      </c>
      <c r="K38" s="40">
        <f t="shared" ref="K38:N38" si="29">K33*K13</f>
        <v>39866.058929999992</v>
      </c>
      <c r="L38" s="40">
        <f t="shared" si="29"/>
        <v>42846.698849999986</v>
      </c>
      <c r="M38" s="40">
        <f t="shared" si="29"/>
        <v>49273.703677499987</v>
      </c>
      <c r="N38" s="40">
        <f t="shared" si="29"/>
        <v>56664.759229124982</v>
      </c>
    </row>
    <row r="39" spans="2:14" hidden="1" outlineLevel="1">
      <c r="B39" s="5" t="s">
        <v>41</v>
      </c>
      <c r="E39" s="11">
        <v>20117</v>
      </c>
      <c r="F39" s="11">
        <v>21825</v>
      </c>
      <c r="G39" s="11">
        <v>22759</v>
      </c>
      <c r="H39" s="11">
        <v>24456</v>
      </c>
      <c r="I39" s="11">
        <v>25654</v>
      </c>
      <c r="J39" s="50">
        <f>J33*J14</f>
        <v>27538.521000000001</v>
      </c>
      <c r="K39" s="40">
        <f t="shared" ref="K39:N39" si="30">K33*K14</f>
        <v>29806.399199999996</v>
      </c>
      <c r="L39" s="40">
        <f t="shared" si="30"/>
        <v>32135.02413749999</v>
      </c>
      <c r="M39" s="40">
        <f t="shared" si="30"/>
        <v>34491.592574249989</v>
      </c>
      <c r="N39" s="40">
        <f t="shared" si="30"/>
        <v>39665.33146038749</v>
      </c>
    </row>
    <row r="40" spans="2:14" hidden="1" outlineLevel="1">
      <c r="B40" s="5" t="s">
        <v>42</v>
      </c>
      <c r="E40" s="11">
        <v>5107</v>
      </c>
      <c r="F40" s="11">
        <v>5900</v>
      </c>
      <c r="G40" s="11">
        <v>7575</v>
      </c>
      <c r="H40" s="11">
        <v>7609</v>
      </c>
      <c r="I40" s="11">
        <v>7223</v>
      </c>
      <c r="J40" s="50">
        <f>J33*J15</f>
        <v>9719.4779999999992</v>
      </c>
      <c r="K40" s="40">
        <f t="shared" ref="K40:N40" si="31">K33*K15</f>
        <v>11177.399699999998</v>
      </c>
      <c r="L40" s="40">
        <f t="shared" si="31"/>
        <v>12854.009654999996</v>
      </c>
      <c r="M40" s="40">
        <f t="shared" si="31"/>
        <v>14782.111103249994</v>
      </c>
      <c r="N40" s="40">
        <f t="shared" si="31"/>
        <v>16999.427768737492</v>
      </c>
    </row>
    <row r="41" spans="2:14" hidden="1" outlineLevel="1">
      <c r="B41" s="17" t="s">
        <v>43</v>
      </c>
      <c r="C41" s="17"/>
      <c r="D41" s="17"/>
      <c r="E41" s="18">
        <f>E37-SUM(E38:E40)</f>
        <v>69916</v>
      </c>
      <c r="F41" s="18">
        <f>F37-SUM(F38:F40)</f>
        <v>83383</v>
      </c>
      <c r="G41" s="18">
        <f>G37-SUM(G38:G40)</f>
        <v>88523</v>
      </c>
      <c r="H41" s="18">
        <f>H37-SUM(H38:H40)</f>
        <v>109433</v>
      </c>
      <c r="I41" s="18">
        <f>I37-SUM(I38:I40)</f>
        <v>128528</v>
      </c>
      <c r="J41" s="53">
        <f t="shared" ref="J41:N41" si="32">J37-SUM(J38:J40)</f>
        <v>150651.90900000001</v>
      </c>
      <c r="K41" s="18">
        <f t="shared" si="32"/>
        <v>172504.53536999994</v>
      </c>
      <c r="L41" s="18">
        <f t="shared" si="32"/>
        <v>199237.14965249994</v>
      </c>
      <c r="M41" s="18">
        <f t="shared" si="32"/>
        <v>236513.7776519999</v>
      </c>
      <c r="N41" s="18">
        <f t="shared" si="32"/>
        <v>283323.79614562483</v>
      </c>
    </row>
    <row r="42" spans="2:14" hidden="1" outlineLevel="1">
      <c r="B42" s="5" t="s">
        <v>44</v>
      </c>
      <c r="E42" s="11">
        <v>1186</v>
      </c>
      <c r="F42" s="11">
        <v>333</v>
      </c>
      <c r="G42" s="11">
        <v>788</v>
      </c>
      <c r="H42" s="11">
        <v>-1646</v>
      </c>
      <c r="I42" s="11">
        <v>-4901</v>
      </c>
      <c r="J42" s="54">
        <f>J41*J18</f>
        <v>3013.0381800000005</v>
      </c>
      <c r="K42" s="65">
        <f t="shared" ref="K42:N42" si="33">K41*K18</f>
        <v>3450.0907073999988</v>
      </c>
      <c r="L42" s="65">
        <f t="shared" si="33"/>
        <v>3984.7429930499989</v>
      </c>
      <c r="M42" s="65">
        <f t="shared" si="33"/>
        <v>4730.2755530399982</v>
      </c>
      <c r="N42" s="65">
        <f t="shared" si="33"/>
        <v>5666.4759229124966</v>
      </c>
    </row>
    <row r="43" spans="2:14" hidden="1" outlineLevel="1">
      <c r="B43" s="17" t="s">
        <v>45</v>
      </c>
      <c r="C43" s="17"/>
      <c r="D43" s="17"/>
      <c r="E43" s="18">
        <f>E41+E42</f>
        <v>71102</v>
      </c>
      <c r="F43" s="18">
        <f>F41+F42</f>
        <v>83716</v>
      </c>
      <c r="G43" s="18">
        <f>G41+G42</f>
        <v>89311</v>
      </c>
      <c r="H43" s="18">
        <f>H41+H42</f>
        <v>107787</v>
      </c>
      <c r="I43" s="18">
        <f>I41+I42</f>
        <v>123627</v>
      </c>
      <c r="J43" s="53">
        <f t="shared" ref="J43:N43" si="34">J41+J42</f>
        <v>153664.94718000002</v>
      </c>
      <c r="K43" s="18">
        <f t="shared" si="34"/>
        <v>175954.62607739994</v>
      </c>
      <c r="L43" s="18">
        <f t="shared" si="34"/>
        <v>203221.89264554993</v>
      </c>
      <c r="M43" s="18">
        <f t="shared" si="34"/>
        <v>241244.05320503991</v>
      </c>
      <c r="N43" s="18">
        <f t="shared" si="34"/>
        <v>288990.27206853731</v>
      </c>
    </row>
    <row r="44" spans="2:14" hidden="1" outlineLevel="1">
      <c r="B44" s="5" t="s">
        <v>46</v>
      </c>
      <c r="E44" s="11">
        <v>9831</v>
      </c>
      <c r="F44" s="11">
        <v>10978</v>
      </c>
      <c r="G44" s="11">
        <v>16950</v>
      </c>
      <c r="H44" s="11">
        <v>19651</v>
      </c>
      <c r="I44" s="11">
        <v>21795</v>
      </c>
      <c r="J44" s="54">
        <f>J43*J17</f>
        <v>28089.745337822776</v>
      </c>
      <c r="K44" s="65">
        <f t="shared" ref="K44:N44" si="35">K43*K17</f>
        <v>31754.43511785084</v>
      </c>
      <c r="L44" s="65">
        <f t="shared" si="35"/>
        <v>36550.44274412909</v>
      </c>
      <c r="M44" s="65">
        <f t="shared" si="35"/>
        <v>43675.060977578862</v>
      </c>
      <c r="N44" s="65">
        <f t="shared" si="35"/>
        <v>52149.767141424883</v>
      </c>
    </row>
    <row r="45" spans="2:14" hidden="1" outlineLevel="1">
      <c r="B45" s="17" t="s">
        <v>47</v>
      </c>
      <c r="C45" s="17"/>
      <c r="D45" s="17"/>
      <c r="E45" s="18">
        <f>E43-E44</f>
        <v>61271</v>
      </c>
      <c r="F45" s="18">
        <f>F43-F44</f>
        <v>72738</v>
      </c>
      <c r="G45" s="18">
        <f>G43-G44</f>
        <v>72361</v>
      </c>
      <c r="H45" s="18">
        <f>H43-H44</f>
        <v>88136</v>
      </c>
      <c r="I45" s="18">
        <f>I43-I44</f>
        <v>101832</v>
      </c>
      <c r="J45" s="53">
        <f t="shared" ref="J45:N45" si="36">J43-J44</f>
        <v>125575.20184217724</v>
      </c>
      <c r="K45" s="18">
        <f t="shared" si="36"/>
        <v>144200.1909595491</v>
      </c>
      <c r="L45" s="18">
        <f t="shared" si="36"/>
        <v>166671.44990142086</v>
      </c>
      <c r="M45" s="18">
        <f t="shared" si="36"/>
        <v>197568.99222746104</v>
      </c>
      <c r="N45" s="18">
        <f t="shared" si="36"/>
        <v>236840.50492711243</v>
      </c>
    </row>
    <row r="46" spans="2:14" hidden="1" outlineLevel="1">
      <c r="B46" s="5" t="s">
        <v>48</v>
      </c>
      <c r="E46" s="19">
        <v>8.1199999999999992</v>
      </c>
      <c r="F46" s="19">
        <v>9.6999999999999993</v>
      </c>
      <c r="G46" s="19">
        <v>9.7200000000000006</v>
      </c>
      <c r="H46" s="19">
        <v>11.86</v>
      </c>
      <c r="I46" s="19">
        <v>13.7</v>
      </c>
      <c r="J46" s="47"/>
    </row>
    <row r="47" spans="2:14" hidden="1" outlineLevel="1">
      <c r="B47" s="5" t="s">
        <v>49</v>
      </c>
      <c r="E47" s="19">
        <v>8.0500000000000007</v>
      </c>
      <c r="F47" s="19">
        <v>9.65</v>
      </c>
      <c r="G47" s="19">
        <v>9.68</v>
      </c>
      <c r="H47" s="19">
        <v>11.8</v>
      </c>
      <c r="I47" s="19">
        <v>13.64</v>
      </c>
      <c r="J47" s="47"/>
    </row>
    <row r="48" spans="2:14" hidden="1" outlineLevel="1">
      <c r="B48" s="5" t="s">
        <v>50</v>
      </c>
      <c r="E48" s="11">
        <v>7547</v>
      </c>
      <c r="F48" s="11">
        <v>7496</v>
      </c>
      <c r="G48" s="11">
        <v>7446</v>
      </c>
      <c r="H48" s="11">
        <v>7431</v>
      </c>
      <c r="I48" s="11">
        <v>7433</v>
      </c>
      <c r="J48" s="47"/>
    </row>
    <row r="49" spans="2:14" hidden="1" outlineLevel="1">
      <c r="B49" s="5" t="s">
        <v>51</v>
      </c>
      <c r="E49" s="11">
        <v>7608</v>
      </c>
      <c r="F49" s="11">
        <v>7540</v>
      </c>
      <c r="G49" s="11">
        <v>7472</v>
      </c>
      <c r="H49" s="11">
        <v>7469</v>
      </c>
      <c r="I49" s="11">
        <v>7465</v>
      </c>
      <c r="J49" s="47"/>
    </row>
    <row r="50" spans="2:14" collapsed="1">
      <c r="E50" s="10"/>
      <c r="F50" s="10"/>
      <c r="G50" s="10"/>
      <c r="H50" s="10"/>
      <c r="I50" s="10"/>
    </row>
    <row r="51" spans="2:14">
      <c r="E51" s="10"/>
      <c r="F51" s="10"/>
      <c r="G51" s="10"/>
      <c r="H51" s="10"/>
      <c r="I51" s="10"/>
    </row>
    <row r="52" spans="2:14" ht="18">
      <c r="B52" s="172" t="s">
        <v>52</v>
      </c>
      <c r="C52" s="170"/>
      <c r="D52" s="170"/>
      <c r="E52" s="170"/>
      <c r="F52" s="170"/>
      <c r="G52" s="170"/>
      <c r="H52" s="170"/>
      <c r="I52" s="170"/>
      <c r="J52" s="171"/>
      <c r="K52" s="171"/>
      <c r="L52" s="171"/>
      <c r="M52" s="171"/>
      <c r="N52" s="171"/>
    </row>
    <row r="53" spans="2:14" outlineLevel="1">
      <c r="B53" s="5" t="s">
        <v>53</v>
      </c>
      <c r="E53" s="11">
        <v>14224</v>
      </c>
      <c r="F53" s="11">
        <v>13931</v>
      </c>
      <c r="G53" s="11">
        <v>34704</v>
      </c>
      <c r="H53" s="11">
        <v>18315</v>
      </c>
      <c r="I53" s="11">
        <v>30242</v>
      </c>
      <c r="J53" s="55">
        <f>J128</f>
        <v>43770.74118099</v>
      </c>
      <c r="K53" s="60">
        <f t="shared" ref="K53:N53" si="37">K128</f>
        <v>45015.377808545229</v>
      </c>
      <c r="L53" s="60">
        <f t="shared" si="37"/>
        <v>49320.402594901192</v>
      </c>
      <c r="M53" s="60">
        <f t="shared" si="37"/>
        <v>65799.911435514863</v>
      </c>
      <c r="N53" s="60">
        <f t="shared" si="37"/>
        <v>69204.76134881399</v>
      </c>
    </row>
    <row r="54" spans="2:14" outlineLevel="1">
      <c r="B54" s="5" t="s">
        <v>54</v>
      </c>
      <c r="E54" s="11">
        <v>116110</v>
      </c>
      <c r="F54" s="11">
        <v>90826</v>
      </c>
      <c r="G54" s="11">
        <v>76558</v>
      </c>
      <c r="H54" s="11">
        <v>57228</v>
      </c>
      <c r="I54" s="11">
        <v>64323</v>
      </c>
      <c r="J54" s="55">
        <v>94878</v>
      </c>
      <c r="K54" s="45">
        <v>100865</v>
      </c>
      <c r="L54" s="45">
        <v>105322</v>
      </c>
      <c r="M54" s="45">
        <v>132636</v>
      </c>
      <c r="N54" s="45">
        <v>202629</v>
      </c>
    </row>
    <row r="55" spans="2:14" outlineLevel="1">
      <c r="B55" s="17" t="s">
        <v>55</v>
      </c>
      <c r="C55" s="17"/>
      <c r="D55" s="17"/>
      <c r="E55" s="18">
        <f>SUM(E53:E54)</f>
        <v>130334</v>
      </c>
      <c r="F55" s="18">
        <f>SUM(F53:F54)</f>
        <v>104757</v>
      </c>
      <c r="G55" s="18">
        <f>SUM(G53:G54)</f>
        <v>111262</v>
      </c>
      <c r="H55" s="18">
        <f>SUM(H53:H54)</f>
        <v>75543</v>
      </c>
      <c r="I55" s="18">
        <f>SUM(I53:I54)</f>
        <v>94565</v>
      </c>
      <c r="J55" s="53">
        <f t="shared" ref="J55:N55" si="38">SUM(J53:J54)</f>
        <v>138648.74118099001</v>
      </c>
      <c r="K55" s="18">
        <f t="shared" si="38"/>
        <v>145880.37780854522</v>
      </c>
      <c r="L55" s="18">
        <f t="shared" si="38"/>
        <v>154642.40259490118</v>
      </c>
      <c r="M55" s="18">
        <f t="shared" si="38"/>
        <v>198435.91143551486</v>
      </c>
      <c r="N55" s="18">
        <f t="shared" si="38"/>
        <v>271833.76134881401</v>
      </c>
    </row>
    <row r="56" spans="2:14" outlineLevel="1">
      <c r="B56" s="5" t="s">
        <v>56</v>
      </c>
      <c r="E56" s="11">
        <v>38043</v>
      </c>
      <c r="F56" s="11">
        <v>44261</v>
      </c>
      <c r="G56" s="11">
        <v>48688</v>
      </c>
      <c r="H56" s="11">
        <v>56924</v>
      </c>
      <c r="I56" s="11">
        <v>69905</v>
      </c>
      <c r="J56" s="54">
        <f>J20*J33/J25</f>
        <v>80773.744109589039</v>
      </c>
      <c r="K56" s="37">
        <f t="shared" ref="K56:N56" si="39">K20*K33/K25</f>
        <v>91869.038630136973</v>
      </c>
      <c r="L56" s="37">
        <f t="shared" si="39"/>
        <v>105649.3944246575</v>
      </c>
      <c r="M56" s="37">
        <f t="shared" si="39"/>
        <v>121496.80358835612</v>
      </c>
      <c r="N56" s="37">
        <f t="shared" si="39"/>
        <v>139721.32412660951</v>
      </c>
    </row>
    <row r="57" spans="2:14" outlineLevel="1">
      <c r="B57" s="5" t="s">
        <v>57</v>
      </c>
      <c r="E57" s="11">
        <v>2636</v>
      </c>
      <c r="F57" s="11">
        <v>3742</v>
      </c>
      <c r="G57" s="11">
        <v>2500</v>
      </c>
      <c r="H57" s="11">
        <v>1246</v>
      </c>
      <c r="I57" s="11">
        <v>938</v>
      </c>
      <c r="J57" s="50">
        <f>J36*J21/J25</f>
        <v>825.48991232876699</v>
      </c>
      <c r="K57" s="40">
        <f t="shared" ref="K57:N57" si="40">K36*K21/K25</f>
        <v>653.29094136986294</v>
      </c>
      <c r="L57" s="40">
        <f t="shared" si="40"/>
        <v>774.76222578082172</v>
      </c>
      <c r="M57" s="40">
        <f t="shared" si="40"/>
        <v>863.97726996164351</v>
      </c>
      <c r="N57" s="40">
        <f t="shared" si="40"/>
        <v>931.47549417739697</v>
      </c>
    </row>
    <row r="58" spans="2:14" outlineLevel="1">
      <c r="B58" s="5" t="s">
        <v>58</v>
      </c>
      <c r="E58" s="11">
        <v>13393</v>
      </c>
      <c r="F58" s="11">
        <v>16924</v>
      </c>
      <c r="G58" s="11">
        <v>21807</v>
      </c>
      <c r="H58" s="11">
        <v>26021</v>
      </c>
      <c r="I58" s="11">
        <v>25723</v>
      </c>
      <c r="J58" s="55">
        <f>AVERAGE(G58:I58)</f>
        <v>24517</v>
      </c>
      <c r="K58" s="45">
        <f t="shared" ref="K58:N58" si="41">AVERAGE(H58:J58)</f>
        <v>25420.333333333332</v>
      </c>
      <c r="L58" s="45">
        <f t="shared" si="41"/>
        <v>25220.111111111109</v>
      </c>
      <c r="M58" s="45">
        <f t="shared" si="41"/>
        <v>25052.481481481478</v>
      </c>
      <c r="N58" s="45">
        <f t="shared" si="41"/>
        <v>25230.97530864197</v>
      </c>
    </row>
    <row r="59" spans="2:14" outlineLevel="1">
      <c r="B59" s="17" t="s">
        <v>59</v>
      </c>
      <c r="C59" s="17"/>
      <c r="D59" s="17"/>
      <c r="E59" s="18">
        <f>SUM(E55:E58)</f>
        <v>184406</v>
      </c>
      <c r="F59" s="18">
        <f>SUM(F55:F58)</f>
        <v>169684</v>
      </c>
      <c r="G59" s="18">
        <f>SUM(G55:G58)</f>
        <v>184257</v>
      </c>
      <c r="H59" s="18">
        <f>SUM(H55:H58)</f>
        <v>159734</v>
      </c>
      <c r="I59" s="18">
        <f>SUM(I55:I58)</f>
        <v>191131</v>
      </c>
      <c r="J59" s="53">
        <f t="shared" ref="J59:N59" si="42">SUM(J55:J58)</f>
        <v>244764.97520290781</v>
      </c>
      <c r="K59" s="18">
        <f t="shared" si="42"/>
        <v>263823.04071338539</v>
      </c>
      <c r="L59" s="18">
        <f t="shared" si="42"/>
        <v>286286.6703564506</v>
      </c>
      <c r="M59" s="18">
        <f t="shared" si="42"/>
        <v>345849.17377531406</v>
      </c>
      <c r="N59" s="18">
        <f t="shared" si="42"/>
        <v>437717.53627824283</v>
      </c>
    </row>
    <row r="60" spans="2:14" outlineLevel="1">
      <c r="B60" s="5" t="s">
        <v>60</v>
      </c>
      <c r="E60" s="11">
        <v>59715</v>
      </c>
      <c r="F60" s="11">
        <v>74398</v>
      </c>
      <c r="G60" s="11">
        <v>95641</v>
      </c>
      <c r="H60" s="11">
        <v>135591</v>
      </c>
      <c r="I60" s="11">
        <v>204966</v>
      </c>
      <c r="J60" s="55">
        <f>J144</f>
        <v>216913.52</v>
      </c>
      <c r="K60" s="45">
        <f t="shared" ref="K60:N60" si="43">K144</f>
        <v>323530.81599999999</v>
      </c>
      <c r="L60" s="45">
        <f t="shared" si="43"/>
        <v>387501.07423999999</v>
      </c>
      <c r="M60" s="45">
        <f t="shared" si="43"/>
        <v>406750.79493759997</v>
      </c>
      <c r="N60" s="45">
        <f t="shared" si="43"/>
        <v>426928.08030444791</v>
      </c>
    </row>
    <row r="61" spans="2:14" outlineLevel="1">
      <c r="B61" s="5" t="s">
        <v>61</v>
      </c>
      <c r="E61" s="11">
        <v>11088</v>
      </c>
      <c r="F61" s="11">
        <v>13148</v>
      </c>
      <c r="G61" s="11">
        <v>14346</v>
      </c>
      <c r="H61" s="11">
        <v>18961</v>
      </c>
      <c r="I61" s="11">
        <v>24823</v>
      </c>
      <c r="J61" s="55">
        <f>I61*(1+0.05)</f>
        <v>26064.15</v>
      </c>
      <c r="K61" s="45">
        <f t="shared" ref="K61:N61" si="44">J61*(1+0.05)</f>
        <v>27367.357500000002</v>
      </c>
      <c r="L61" s="45">
        <f t="shared" si="44"/>
        <v>28735.725375000002</v>
      </c>
      <c r="M61" s="45">
        <f t="shared" si="44"/>
        <v>30172.511643750004</v>
      </c>
      <c r="N61" s="45">
        <f t="shared" si="44"/>
        <v>31681.137225937506</v>
      </c>
    </row>
    <row r="62" spans="2:14" outlineLevel="1">
      <c r="B62" s="5" t="s">
        <v>62</v>
      </c>
      <c r="E62" s="11">
        <v>5984</v>
      </c>
      <c r="F62" s="11">
        <v>6891</v>
      </c>
      <c r="G62" s="11">
        <v>9879</v>
      </c>
      <c r="H62" s="11">
        <v>14600</v>
      </c>
      <c r="I62" s="11">
        <v>15405</v>
      </c>
      <c r="J62" s="54">
        <v>25000</v>
      </c>
      <c r="K62" s="37">
        <v>30000</v>
      </c>
      <c r="L62" s="38">
        <v>30000</v>
      </c>
      <c r="M62" s="38">
        <v>68000</v>
      </c>
      <c r="N62" s="38">
        <v>80000</v>
      </c>
    </row>
    <row r="63" spans="2:14" outlineLevel="1">
      <c r="B63" s="5" t="s">
        <v>63</v>
      </c>
      <c r="E63" s="11">
        <v>49711</v>
      </c>
      <c r="F63" s="11">
        <v>67524</v>
      </c>
      <c r="G63" s="11">
        <v>67886</v>
      </c>
      <c r="H63" s="11">
        <v>119220</v>
      </c>
      <c r="I63" s="11">
        <v>119509</v>
      </c>
      <c r="J63" s="55">
        <v>150000</v>
      </c>
      <c r="K63" s="45">
        <v>150000</v>
      </c>
      <c r="L63" s="45">
        <v>200000</v>
      </c>
      <c r="M63" s="45">
        <v>230000</v>
      </c>
      <c r="N63" s="45">
        <v>290000</v>
      </c>
    </row>
    <row r="64" spans="2:14" outlineLevel="1">
      <c r="B64" s="5" t="s">
        <v>64</v>
      </c>
      <c r="E64" s="11">
        <v>7800</v>
      </c>
      <c r="F64" s="11">
        <v>11298</v>
      </c>
      <c r="G64" s="11">
        <v>9366</v>
      </c>
      <c r="H64" s="11">
        <v>27597</v>
      </c>
      <c r="I64" s="11">
        <v>22604</v>
      </c>
      <c r="J64" s="55">
        <f>AVERAGE(G64:I64)</f>
        <v>19855.666666666668</v>
      </c>
      <c r="K64" s="45">
        <f t="shared" ref="K64:N64" si="45">AVERAGE(H64:J64)</f>
        <v>23352.222222222223</v>
      </c>
      <c r="L64" s="45">
        <f t="shared" si="45"/>
        <v>21937.296296296296</v>
      </c>
      <c r="M64" s="45">
        <f t="shared" si="45"/>
        <v>21715.06172839506</v>
      </c>
      <c r="N64" s="45">
        <f t="shared" si="45"/>
        <v>22334.860082304527</v>
      </c>
    </row>
    <row r="65" spans="2:14" outlineLevel="1">
      <c r="B65" s="5" t="s">
        <v>65</v>
      </c>
      <c r="E65" s="11">
        <v>15075</v>
      </c>
      <c r="F65" s="11">
        <v>21897</v>
      </c>
      <c r="G65" s="11">
        <v>30601</v>
      </c>
      <c r="H65" s="11">
        <v>36460</v>
      </c>
      <c r="I65" s="11">
        <v>40565</v>
      </c>
      <c r="J65" s="55">
        <f>I65*(1+15%)</f>
        <v>46649.75</v>
      </c>
      <c r="K65" s="45">
        <f t="shared" ref="K65:N65" si="46">J65*(1+15%)</f>
        <v>53647.212499999994</v>
      </c>
      <c r="L65" s="45">
        <f t="shared" si="46"/>
        <v>61694.29437499999</v>
      </c>
      <c r="M65" s="45">
        <f t="shared" si="46"/>
        <v>70948.43853124998</v>
      </c>
      <c r="N65" s="45">
        <f t="shared" si="46"/>
        <v>81590.704310937464</v>
      </c>
    </row>
    <row r="66" spans="2:14" outlineLevel="1">
      <c r="B66" s="17" t="s">
        <v>66</v>
      </c>
      <c r="C66" s="17"/>
      <c r="D66" s="17"/>
      <c r="E66" s="18">
        <f>SUM(E59:E65)</f>
        <v>333779</v>
      </c>
      <c r="F66" s="18">
        <f>SUM(F59:F65)</f>
        <v>364840</v>
      </c>
      <c r="G66" s="18">
        <f>SUM(G59:G65)</f>
        <v>411976</v>
      </c>
      <c r="H66" s="18">
        <f>SUM(H59:H65)</f>
        <v>512163</v>
      </c>
      <c r="I66" s="18">
        <f>SUM(I59:I65)</f>
        <v>619003</v>
      </c>
      <c r="J66" s="53">
        <f t="shared" ref="J66:N66" si="47">SUM(J59:J65)</f>
        <v>729248.06186957448</v>
      </c>
      <c r="K66" s="18">
        <f t="shared" si="47"/>
        <v>871720.64893560763</v>
      </c>
      <c r="L66" s="18">
        <f t="shared" si="47"/>
        <v>1016155.0606427469</v>
      </c>
      <c r="M66" s="18">
        <f t="shared" si="47"/>
        <v>1173435.980616309</v>
      </c>
      <c r="N66" s="18">
        <f t="shared" si="47"/>
        <v>1370252.3182018704</v>
      </c>
    </row>
    <row r="67" spans="2:14" outlineLevel="1">
      <c r="E67" s="10"/>
      <c r="F67" s="10"/>
      <c r="G67" s="10"/>
      <c r="H67" s="10"/>
      <c r="I67" s="10"/>
      <c r="J67" s="47"/>
      <c r="K67" s="35"/>
    </row>
    <row r="68" spans="2:14" outlineLevel="1">
      <c r="B68" s="5" t="s">
        <v>67</v>
      </c>
      <c r="E68" s="11">
        <v>15163</v>
      </c>
      <c r="F68" s="11">
        <v>19000</v>
      </c>
      <c r="G68" s="11">
        <v>18095</v>
      </c>
      <c r="H68" s="11">
        <v>21996</v>
      </c>
      <c r="I68" s="11">
        <v>27724</v>
      </c>
      <c r="J68" s="54">
        <f>J36*J22/J25</f>
        <v>31643.779972602733</v>
      </c>
      <c r="K68" s="37">
        <f t="shared" ref="K68:N68" si="48">K36*K22/K25</f>
        <v>37890.87459945205</v>
      </c>
      <c r="L68" s="37">
        <f t="shared" si="48"/>
        <v>45323.590208178073</v>
      </c>
      <c r="M68" s="37">
        <f t="shared" si="48"/>
        <v>50542.670292756142</v>
      </c>
      <c r="N68" s="37">
        <f t="shared" si="48"/>
        <v>54491.316409377723</v>
      </c>
    </row>
    <row r="69" spans="2:14" outlineLevel="1">
      <c r="B69" s="5" t="s">
        <v>68</v>
      </c>
      <c r="E69" s="11">
        <v>0</v>
      </c>
      <c r="F69" s="11">
        <v>0</v>
      </c>
      <c r="G69" s="11">
        <v>0</v>
      </c>
      <c r="H69" s="11">
        <v>6693</v>
      </c>
      <c r="I69" s="11">
        <v>0</v>
      </c>
      <c r="J69" s="56">
        <v>0</v>
      </c>
      <c r="K69" s="46">
        <v>0</v>
      </c>
      <c r="L69" s="46">
        <v>0</v>
      </c>
      <c r="M69" s="46">
        <v>0</v>
      </c>
      <c r="N69" s="46">
        <v>0</v>
      </c>
    </row>
    <row r="70" spans="2:14" outlineLevel="1">
      <c r="B70" s="5" t="s">
        <v>69</v>
      </c>
      <c r="E70" s="11">
        <v>8072</v>
      </c>
      <c r="F70" s="11">
        <v>2749</v>
      </c>
      <c r="G70" s="11">
        <v>5247</v>
      </c>
      <c r="H70" s="11">
        <v>2249</v>
      </c>
      <c r="I70" s="11">
        <v>2999</v>
      </c>
      <c r="J70" s="50">
        <f>K148</f>
        <v>2000</v>
      </c>
      <c r="K70" s="40">
        <f t="shared" ref="K70:M70" si="49">L148</f>
        <v>5000</v>
      </c>
      <c r="L70" s="40">
        <f t="shared" si="49"/>
        <v>9000</v>
      </c>
      <c r="M70" s="40">
        <f t="shared" si="49"/>
        <v>2000</v>
      </c>
      <c r="N70" s="40">
        <v>2500</v>
      </c>
    </row>
    <row r="71" spans="2:14" outlineLevel="1">
      <c r="B71" s="5" t="s">
        <v>70</v>
      </c>
      <c r="E71" s="11">
        <v>10057</v>
      </c>
      <c r="F71" s="11">
        <v>10661</v>
      </c>
      <c r="G71" s="11">
        <v>11009</v>
      </c>
      <c r="H71" s="11">
        <v>12564</v>
      </c>
      <c r="I71" s="11">
        <v>13709</v>
      </c>
      <c r="J71" s="55">
        <f>I71*(1+5%)</f>
        <v>14394.45</v>
      </c>
      <c r="K71" s="45">
        <f t="shared" ref="K71:N71" si="50">J71*(1+5%)</f>
        <v>15114.172500000001</v>
      </c>
      <c r="L71" s="45">
        <f t="shared" si="50"/>
        <v>15869.881125000002</v>
      </c>
      <c r="M71" s="45">
        <f t="shared" si="50"/>
        <v>16663.375181250001</v>
      </c>
      <c r="N71" s="45">
        <f t="shared" si="50"/>
        <v>17496.543940312502</v>
      </c>
    </row>
    <row r="72" spans="2:14" outlineLevel="1">
      <c r="B72" s="5" t="s">
        <v>71</v>
      </c>
      <c r="E72" s="11">
        <v>2174</v>
      </c>
      <c r="F72" s="11">
        <v>4067</v>
      </c>
      <c r="G72" s="11">
        <v>4152</v>
      </c>
      <c r="H72" s="11">
        <v>5017</v>
      </c>
      <c r="I72" s="11">
        <v>7211</v>
      </c>
      <c r="J72" s="54">
        <f>I72*(1+12%)</f>
        <v>8076.3200000000006</v>
      </c>
      <c r="K72" s="37">
        <f t="shared" ref="K72:N72" si="51">J72*(1+12%)</f>
        <v>9045.4784000000018</v>
      </c>
      <c r="L72" s="37">
        <f t="shared" si="51"/>
        <v>10130.935808000004</v>
      </c>
      <c r="M72" s="37">
        <f t="shared" si="51"/>
        <v>11346.648104960006</v>
      </c>
      <c r="N72" s="37">
        <f t="shared" si="51"/>
        <v>12708.245877555208</v>
      </c>
    </row>
    <row r="73" spans="2:14" outlineLevel="1">
      <c r="B73" s="5" t="s">
        <v>72</v>
      </c>
      <c r="E73" s="11">
        <v>41525</v>
      </c>
      <c r="F73" s="11">
        <v>45538</v>
      </c>
      <c r="G73" s="11">
        <v>50901</v>
      </c>
      <c r="H73" s="11">
        <v>57582</v>
      </c>
      <c r="I73" s="11">
        <v>64555</v>
      </c>
      <c r="J73" s="55">
        <f>I73*(1+5%)</f>
        <v>67782.75</v>
      </c>
      <c r="K73" s="60">
        <f t="shared" ref="K73" si="52">J73*(1+5%)</f>
        <v>71171.887499999997</v>
      </c>
      <c r="L73" s="60">
        <f>K73*(1+3%)</f>
        <v>73307.044125</v>
      </c>
      <c r="M73" s="60">
        <f t="shared" ref="M73:N73" si="53">L73*(1+3%)</f>
        <v>75506.255448750002</v>
      </c>
      <c r="N73" s="60">
        <f t="shared" si="53"/>
        <v>77771.44311221251</v>
      </c>
    </row>
    <row r="74" spans="2:14" outlineLevel="1">
      <c r="B74" s="5" t="s">
        <v>73</v>
      </c>
      <c r="E74" s="11">
        <v>11666</v>
      </c>
      <c r="F74" s="11">
        <v>13067</v>
      </c>
      <c r="G74" s="11">
        <v>14745</v>
      </c>
      <c r="H74" s="11">
        <v>19185</v>
      </c>
      <c r="I74" s="11">
        <v>25020</v>
      </c>
      <c r="J74" s="54">
        <f>I74*(1+15%)</f>
        <v>28772.999999999996</v>
      </c>
      <c r="K74" s="37">
        <f t="shared" ref="K74:N74" si="54">J74*(1+15%)</f>
        <v>33088.94999999999</v>
      </c>
      <c r="L74" s="37">
        <f t="shared" si="54"/>
        <v>38052.292499999989</v>
      </c>
      <c r="M74" s="37">
        <f t="shared" si="54"/>
        <v>43760.13637499998</v>
      </c>
      <c r="N74" s="37">
        <f t="shared" si="54"/>
        <v>50324.156831249973</v>
      </c>
    </row>
    <row r="75" spans="2:14" outlineLevel="1">
      <c r="B75" s="17" t="s">
        <v>74</v>
      </c>
      <c r="C75" s="17"/>
      <c r="D75" s="17"/>
      <c r="E75" s="18">
        <f>SUM(E68:E74)</f>
        <v>88657</v>
      </c>
      <c r="F75" s="18">
        <f>SUM(F68:F74)</f>
        <v>95082</v>
      </c>
      <c r="G75" s="18">
        <f>SUM(G68:G74)</f>
        <v>104149</v>
      </c>
      <c r="H75" s="18">
        <f>SUM(H68:H74)</f>
        <v>125286</v>
      </c>
      <c r="I75" s="18">
        <f>SUM(I68:I74)</f>
        <v>141218</v>
      </c>
      <c r="J75" s="53">
        <f t="shared" ref="J75:N75" si="55">SUM(J68:J74)</f>
        <v>152670.29997260272</v>
      </c>
      <c r="K75" s="18">
        <f t="shared" si="55"/>
        <v>171311.36299945202</v>
      </c>
      <c r="L75" s="18">
        <f t="shared" si="55"/>
        <v>191683.74376617809</v>
      </c>
      <c r="M75" s="18">
        <f t="shared" si="55"/>
        <v>199819.08540271613</v>
      </c>
      <c r="N75" s="18">
        <f t="shared" si="55"/>
        <v>215291.70617070791</v>
      </c>
    </row>
    <row r="76" spans="2:14" outlineLevel="1">
      <c r="B76" s="5" t="s">
        <v>75</v>
      </c>
      <c r="E76" s="11">
        <v>50074</v>
      </c>
      <c r="F76" s="11">
        <v>47032</v>
      </c>
      <c r="G76" s="11">
        <v>41990</v>
      </c>
      <c r="H76" s="11">
        <v>42688</v>
      </c>
      <c r="I76" s="11">
        <v>40152</v>
      </c>
      <c r="J76" s="55">
        <f>K147</f>
        <v>45152</v>
      </c>
      <c r="K76" s="45">
        <f t="shared" ref="K76:M76" si="56">L147</f>
        <v>56151</v>
      </c>
      <c r="L76" s="45">
        <f t="shared" si="56"/>
        <v>48151</v>
      </c>
      <c r="M76" s="45">
        <f t="shared" si="56"/>
        <v>35151</v>
      </c>
      <c r="N76" s="45">
        <v>18000</v>
      </c>
    </row>
    <row r="77" spans="2:14" outlineLevel="1">
      <c r="B77" s="5" t="s">
        <v>76</v>
      </c>
      <c r="E77" s="11">
        <v>27190</v>
      </c>
      <c r="F77" s="11">
        <v>26069</v>
      </c>
      <c r="G77" s="11">
        <v>25560</v>
      </c>
      <c r="H77" s="11">
        <v>27931</v>
      </c>
      <c r="I77" s="11">
        <v>25986</v>
      </c>
      <c r="J77" s="55">
        <f>AVERAGE(G77:I77)</f>
        <v>26492.333333333332</v>
      </c>
      <c r="K77" s="45">
        <f t="shared" ref="K77:N77" si="57">AVERAGE(H77:J77)</f>
        <v>26803.111111111109</v>
      </c>
      <c r="L77" s="45">
        <f t="shared" si="57"/>
        <v>26427.148148148146</v>
      </c>
      <c r="M77" s="45">
        <f t="shared" si="57"/>
        <v>26574.197530864196</v>
      </c>
      <c r="N77" s="45">
        <f t="shared" si="57"/>
        <v>26601.485596707818</v>
      </c>
    </row>
    <row r="78" spans="2:14" outlineLevel="1">
      <c r="B78" s="5" t="s">
        <v>77</v>
      </c>
      <c r="E78" s="11">
        <v>2616</v>
      </c>
      <c r="F78" s="11">
        <v>2870</v>
      </c>
      <c r="G78" s="11">
        <v>2912</v>
      </c>
      <c r="H78" s="11">
        <v>2602</v>
      </c>
      <c r="I78" s="11">
        <v>2710</v>
      </c>
      <c r="J78" s="55">
        <f>AVERAGE(G78:I78)</f>
        <v>2741.3333333333335</v>
      </c>
      <c r="K78" s="45">
        <f t="shared" ref="K78:N78" si="58">AVERAGE(H78:J78)</f>
        <v>2684.4444444444448</v>
      </c>
      <c r="L78" s="45">
        <f t="shared" si="58"/>
        <v>2711.9259259259265</v>
      </c>
      <c r="M78" s="45">
        <f t="shared" si="58"/>
        <v>2712.5679012345681</v>
      </c>
      <c r="N78" s="45">
        <f t="shared" si="58"/>
        <v>2702.979423868313</v>
      </c>
    </row>
    <row r="79" spans="2:14" outlineLevel="1">
      <c r="B79" s="5" t="s">
        <v>78</v>
      </c>
      <c r="E79" s="11">
        <v>198</v>
      </c>
      <c r="F79" s="11">
        <v>230</v>
      </c>
      <c r="G79" s="11">
        <v>433</v>
      </c>
      <c r="H79" s="11">
        <v>2618</v>
      </c>
      <c r="I79" s="11">
        <v>2835</v>
      </c>
      <c r="J79" s="47">
        <v>3000</v>
      </c>
      <c r="K79" s="35">
        <v>3000</v>
      </c>
      <c r="L79" s="5">
        <v>2000</v>
      </c>
      <c r="M79" s="5">
        <v>2000</v>
      </c>
      <c r="N79" s="5">
        <v>550</v>
      </c>
    </row>
    <row r="80" spans="2:14" outlineLevel="1">
      <c r="B80" s="5" t="s">
        <v>79</v>
      </c>
      <c r="E80" s="11">
        <v>9629</v>
      </c>
      <c r="F80" s="11">
        <v>11489</v>
      </c>
      <c r="G80" s="11">
        <v>12728</v>
      </c>
      <c r="H80" s="11">
        <v>15497</v>
      </c>
      <c r="I80" s="11">
        <v>17437</v>
      </c>
      <c r="J80" s="54">
        <f>I80*(1+10%)</f>
        <v>19180.7</v>
      </c>
      <c r="K80" s="37">
        <f t="shared" ref="K80:N80" si="59">J80*(1+10%)</f>
        <v>21098.770000000004</v>
      </c>
      <c r="L80" s="37">
        <f t="shared" si="59"/>
        <v>23208.647000000008</v>
      </c>
      <c r="M80" s="37">
        <f t="shared" si="59"/>
        <v>25529.51170000001</v>
      </c>
      <c r="N80" s="37">
        <f t="shared" si="59"/>
        <v>28082.462870000014</v>
      </c>
    </row>
    <row r="81" spans="2:14" outlineLevel="1">
      <c r="B81" s="5" t="s">
        <v>80</v>
      </c>
      <c r="E81" s="11">
        <v>13427</v>
      </c>
      <c r="F81" s="11">
        <v>15526</v>
      </c>
      <c r="G81" s="11">
        <v>17981</v>
      </c>
      <c r="H81" s="11">
        <v>27064</v>
      </c>
      <c r="I81" s="11">
        <v>45186</v>
      </c>
      <c r="J81" s="55">
        <f>I81*(1+20%)</f>
        <v>54223.199999999997</v>
      </c>
      <c r="K81" s="45">
        <f>J81*(1+10%)</f>
        <v>59645.520000000004</v>
      </c>
      <c r="L81" s="45">
        <f t="shared" ref="L81:N81" si="60">K81*(1+10%)</f>
        <v>65610.072000000015</v>
      </c>
      <c r="M81" s="45">
        <f t="shared" si="60"/>
        <v>72171.079200000022</v>
      </c>
      <c r="N81" s="45">
        <f t="shared" si="60"/>
        <v>79388.187120000031</v>
      </c>
    </row>
    <row r="82" spans="2:14" outlineLevel="1">
      <c r="B82" s="17" t="s">
        <v>81</v>
      </c>
      <c r="C82" s="17"/>
      <c r="D82" s="17"/>
      <c r="E82" s="18">
        <f>SUM(E75:E81)</f>
        <v>191791</v>
      </c>
      <c r="F82" s="18">
        <f>SUM(F75:F81)</f>
        <v>198298</v>
      </c>
      <c r="G82" s="18">
        <f>SUM(G75:G81)</f>
        <v>205753</v>
      </c>
      <c r="H82" s="18">
        <f>SUM(H75:H81)</f>
        <v>243686</v>
      </c>
      <c r="I82" s="18">
        <f>SUM(I75:I81)</f>
        <v>275524</v>
      </c>
      <c r="J82" s="53">
        <f t="shared" ref="J82:N82" si="61">SUM(J75:J81)</f>
        <v>303459.8666392694</v>
      </c>
      <c r="K82" s="18">
        <f t="shared" si="61"/>
        <v>340694.20855500759</v>
      </c>
      <c r="L82" s="18">
        <f t="shared" si="61"/>
        <v>359792.53684025211</v>
      </c>
      <c r="M82" s="18">
        <f t="shared" si="61"/>
        <v>363957.44173481496</v>
      </c>
      <c r="N82" s="18">
        <f t="shared" si="61"/>
        <v>370616.82118128403</v>
      </c>
    </row>
    <row r="83" spans="2:14" outlineLevel="1">
      <c r="B83" s="5" t="s">
        <v>82</v>
      </c>
      <c r="E83" s="11">
        <v>83111</v>
      </c>
      <c r="F83" s="11">
        <v>86939</v>
      </c>
      <c r="G83" s="11">
        <v>93718</v>
      </c>
      <c r="H83" s="11">
        <v>100923</v>
      </c>
      <c r="I83" s="11">
        <v>109095</v>
      </c>
      <c r="J83" s="54">
        <f>I83*(1+3%)</f>
        <v>112367.85</v>
      </c>
      <c r="K83" s="65">
        <f t="shared" ref="K83:N83" si="62">J83*(1+3%)</f>
        <v>115738.8855</v>
      </c>
      <c r="L83" s="65">
        <f t="shared" si="62"/>
        <v>119211.05206500001</v>
      </c>
      <c r="M83" s="65">
        <f t="shared" si="62"/>
        <v>122787.38362695002</v>
      </c>
      <c r="N83" s="65">
        <f t="shared" si="62"/>
        <v>126471.00513575852</v>
      </c>
    </row>
    <row r="84" spans="2:14" outlineLevel="1">
      <c r="B84" s="5" t="s">
        <v>83</v>
      </c>
      <c r="E84" s="11">
        <v>57055</v>
      </c>
      <c r="F84" s="11">
        <v>84281</v>
      </c>
      <c r="G84" s="11">
        <v>118848</v>
      </c>
      <c r="H84" s="11">
        <v>173144</v>
      </c>
      <c r="I84" s="11">
        <v>237731</v>
      </c>
      <c r="J84" s="55">
        <f>I84+J45+I113+I114+I115</f>
        <v>318513.20184217725</v>
      </c>
      <c r="K84" s="45">
        <f t="shared" ref="K84:N84" si="63">J84+K45+J113+J114+J115</f>
        <v>419964.01280172635</v>
      </c>
      <c r="L84" s="45">
        <f t="shared" si="63"/>
        <v>541523.63850314717</v>
      </c>
      <c r="M84" s="45">
        <f t="shared" si="63"/>
        <v>691405.74235260824</v>
      </c>
      <c r="N84" s="45">
        <f t="shared" si="63"/>
        <v>877752.53894770064</v>
      </c>
    </row>
    <row r="85" spans="2:14" outlineLevel="1">
      <c r="B85" s="5" t="s">
        <v>84</v>
      </c>
      <c r="E85" s="11">
        <v>1822</v>
      </c>
      <c r="F85" s="11">
        <v>-4678</v>
      </c>
      <c r="G85" s="11">
        <v>-6343</v>
      </c>
      <c r="H85" s="11">
        <v>-5590</v>
      </c>
      <c r="I85" s="11">
        <v>-3347</v>
      </c>
      <c r="J85" s="55">
        <f>AVERAGE(G85:I85)</f>
        <v>-5093.333333333333</v>
      </c>
      <c r="K85" s="45">
        <f t="shared" ref="K85:N85" si="64">AVERAGE(H85:J85)</f>
        <v>-4676.7777777777774</v>
      </c>
      <c r="L85" s="45">
        <f t="shared" si="64"/>
        <v>-4372.3703703703695</v>
      </c>
      <c r="M85" s="45">
        <f t="shared" si="64"/>
        <v>-4714.1604938271594</v>
      </c>
      <c r="N85" s="45">
        <f t="shared" si="64"/>
        <v>-4587.7695473251015</v>
      </c>
    </row>
    <row r="86" spans="2:14" outlineLevel="1">
      <c r="B86" s="17" t="s">
        <v>85</v>
      </c>
      <c r="C86" s="17"/>
      <c r="D86" s="17"/>
      <c r="E86" s="18">
        <f>SUM(E83:E85)</f>
        <v>141988</v>
      </c>
      <c r="F86" s="18">
        <f>SUM(F83:F85)</f>
        <v>166542</v>
      </c>
      <c r="G86" s="18">
        <f>SUM(G83:G85)</f>
        <v>206223</v>
      </c>
      <c r="H86" s="18">
        <f>SUM(H83:H85)</f>
        <v>268477</v>
      </c>
      <c r="I86" s="18">
        <f>SUM(I83:I85)</f>
        <v>343479</v>
      </c>
      <c r="J86" s="53">
        <f t="shared" ref="J86:N86" si="65">SUM(J83:J85)</f>
        <v>425787.71850884397</v>
      </c>
      <c r="K86" s="18">
        <f t="shared" si="65"/>
        <v>531026.12052394857</v>
      </c>
      <c r="L86" s="18">
        <f t="shared" si="65"/>
        <v>656362.32019777689</v>
      </c>
      <c r="M86" s="18">
        <f t="shared" si="65"/>
        <v>809478.96548573102</v>
      </c>
      <c r="N86" s="18">
        <f t="shared" si="65"/>
        <v>999635.77453613409</v>
      </c>
    </row>
    <row r="87" spans="2:14" outlineLevel="1">
      <c r="B87" s="17" t="s">
        <v>86</v>
      </c>
      <c r="C87" s="17"/>
      <c r="D87" s="17"/>
      <c r="E87" s="18">
        <f>E82+E86</f>
        <v>333779</v>
      </c>
      <c r="F87" s="18">
        <f>F82+F86</f>
        <v>364840</v>
      </c>
      <c r="G87" s="18">
        <f>G82+G86</f>
        <v>411976</v>
      </c>
      <c r="H87" s="18">
        <f>H82+H86</f>
        <v>512163</v>
      </c>
      <c r="I87" s="18">
        <f>I82+I86</f>
        <v>619003</v>
      </c>
      <c r="J87" s="53">
        <f t="shared" ref="J87:N87" si="66">J82+J86</f>
        <v>729247.58514811331</v>
      </c>
      <c r="K87" s="18">
        <f t="shared" si="66"/>
        <v>871720.32907895616</v>
      </c>
      <c r="L87" s="18">
        <f t="shared" si="66"/>
        <v>1016154.857038029</v>
      </c>
      <c r="M87" s="18">
        <f t="shared" si="66"/>
        <v>1173436.4072205459</v>
      </c>
      <c r="N87" s="18">
        <f t="shared" si="66"/>
        <v>1370252.595717418</v>
      </c>
    </row>
    <row r="88" spans="2:14" outlineLevel="1">
      <c r="B88" s="20" t="s">
        <v>87</v>
      </c>
      <c r="C88" s="20"/>
      <c r="D88" s="20"/>
      <c r="E88" s="21">
        <f>E66-E87</f>
        <v>0</v>
      </c>
      <c r="F88" s="21">
        <f>F66-F87</f>
        <v>0</v>
      </c>
      <c r="G88" s="21">
        <f>G66-G87</f>
        <v>0</v>
      </c>
      <c r="H88" s="21">
        <f>H66-H87</f>
        <v>0</v>
      </c>
      <c r="I88" s="21">
        <f>I66-I87</f>
        <v>0</v>
      </c>
      <c r="J88" s="21">
        <f t="shared" ref="J88:N88" si="67">J66-J87</f>
        <v>0.47672146116383374</v>
      </c>
      <c r="K88" s="21">
        <f t="shared" si="67"/>
        <v>0.31985665147658437</v>
      </c>
      <c r="L88" s="21">
        <f t="shared" si="67"/>
        <v>0.20360471785534173</v>
      </c>
      <c r="M88" s="21">
        <f t="shared" si="67"/>
        <v>-0.42660423694178462</v>
      </c>
      <c r="N88" s="21">
        <f t="shared" si="67"/>
        <v>-0.27751554758287966</v>
      </c>
    </row>
    <row r="89" spans="2:14">
      <c r="E89" s="10"/>
      <c r="F89" s="10"/>
      <c r="G89" s="10"/>
      <c r="H89" s="10"/>
      <c r="I89" s="10"/>
    </row>
    <row r="90" spans="2:14">
      <c r="E90" s="10"/>
      <c r="F90" s="10"/>
      <c r="G90" s="10"/>
      <c r="H90" s="10"/>
      <c r="I90" s="10"/>
    </row>
    <row r="91" spans="2:14" ht="18">
      <c r="B91" s="172" t="s">
        <v>88</v>
      </c>
      <c r="C91" s="170"/>
      <c r="D91" s="170"/>
      <c r="E91" s="170"/>
      <c r="F91" s="170"/>
      <c r="G91" s="170"/>
      <c r="H91" s="170"/>
      <c r="I91" s="170"/>
      <c r="J91" s="171"/>
      <c r="K91" s="171"/>
      <c r="L91" s="171"/>
      <c r="M91" s="171"/>
      <c r="N91" s="171"/>
    </row>
    <row r="92" spans="2:14" outlineLevel="1">
      <c r="B92" s="5" t="s">
        <v>89</v>
      </c>
      <c r="E92" s="11">
        <v>61271</v>
      </c>
      <c r="F92" s="11">
        <v>72738</v>
      </c>
      <c r="G92" s="11">
        <v>72361</v>
      </c>
      <c r="H92" s="11">
        <v>88136</v>
      </c>
      <c r="I92" s="11">
        <v>101832</v>
      </c>
      <c r="J92" s="55">
        <f>J45</f>
        <v>125575.20184217724</v>
      </c>
      <c r="K92" s="45">
        <f t="shared" ref="K92:N92" si="68">K45</f>
        <v>144200.1909595491</v>
      </c>
      <c r="L92" s="45">
        <f t="shared" si="68"/>
        <v>166671.44990142086</v>
      </c>
      <c r="M92" s="45">
        <f t="shared" si="68"/>
        <v>197568.99222746104</v>
      </c>
      <c r="N92" s="45">
        <f t="shared" si="68"/>
        <v>236840.50492711243</v>
      </c>
    </row>
    <row r="93" spans="2:14" outlineLevel="1">
      <c r="B93" s="5" t="s">
        <v>90</v>
      </c>
      <c r="E93" s="11">
        <v>11686</v>
      </c>
      <c r="F93" s="11">
        <v>14460</v>
      </c>
      <c r="G93" s="11">
        <v>13861</v>
      </c>
      <c r="H93" s="11">
        <v>22287</v>
      </c>
      <c r="I93" s="11">
        <v>34153</v>
      </c>
      <c r="J93" s="50">
        <f>J143</f>
        <v>25078.48</v>
      </c>
      <c r="K93" s="40">
        <f t="shared" ref="K93:N93" si="69">K143</f>
        <v>43382.703999999998</v>
      </c>
      <c r="L93" s="40">
        <f t="shared" si="69"/>
        <v>76029.74175999999</v>
      </c>
      <c r="M93" s="40">
        <f t="shared" si="69"/>
        <v>100750.2793024</v>
      </c>
      <c r="N93" s="40">
        <f t="shared" si="69"/>
        <v>109822.71463315201</v>
      </c>
    </row>
    <row r="94" spans="2:14" outlineLevel="1">
      <c r="B94" s="5" t="s">
        <v>91</v>
      </c>
      <c r="E94" s="11">
        <v>6118</v>
      </c>
      <c r="F94" s="11">
        <v>7502</v>
      </c>
      <c r="G94" s="11">
        <v>9611</v>
      </c>
      <c r="H94" s="11">
        <v>10734</v>
      </c>
      <c r="I94" s="11">
        <v>11974</v>
      </c>
      <c r="J94" s="54">
        <f>I94*(1+3%)</f>
        <v>12333.220000000001</v>
      </c>
      <c r="K94" s="37">
        <f t="shared" ref="K94:N94" si="70">J94*(1+3%)</f>
        <v>12703.216600000002</v>
      </c>
      <c r="L94" s="37">
        <f t="shared" si="70"/>
        <v>13084.313098000002</v>
      </c>
      <c r="M94" s="37">
        <f t="shared" si="70"/>
        <v>13476.842490940002</v>
      </c>
      <c r="N94" s="37">
        <f t="shared" si="70"/>
        <v>13881.147765668202</v>
      </c>
    </row>
    <row r="95" spans="2:14" outlineLevel="1">
      <c r="B95" s="5" t="s">
        <v>92</v>
      </c>
      <c r="E95" s="11">
        <v>-1249</v>
      </c>
      <c r="F95" s="11">
        <v>-409</v>
      </c>
      <c r="G95" s="11">
        <v>196</v>
      </c>
      <c r="H95" s="11">
        <v>305</v>
      </c>
      <c r="I95" s="11">
        <v>609</v>
      </c>
      <c r="J95" s="47">
        <v>500</v>
      </c>
      <c r="K95" s="35">
        <v>500</v>
      </c>
      <c r="L95" s="35">
        <v>500</v>
      </c>
      <c r="M95" s="35">
        <v>500</v>
      </c>
      <c r="N95" s="35">
        <v>500</v>
      </c>
    </row>
    <row r="96" spans="2:14" outlineLevel="1">
      <c r="B96" s="5" t="s">
        <v>93</v>
      </c>
      <c r="E96" s="11">
        <v>-150</v>
      </c>
      <c r="F96" s="11">
        <v>-5702</v>
      </c>
      <c r="G96" s="11">
        <v>-6059</v>
      </c>
      <c r="H96" s="11">
        <v>-4738</v>
      </c>
      <c r="I96" s="11">
        <v>-7056</v>
      </c>
      <c r="J96" s="55">
        <f>AVERAGE(G96:I96)</f>
        <v>-5951</v>
      </c>
      <c r="K96" s="45">
        <f t="shared" ref="K96:N96" si="71">AVERAGE(H96:J96)</f>
        <v>-5915</v>
      </c>
      <c r="L96" s="45">
        <f t="shared" si="71"/>
        <v>-6307.333333333333</v>
      </c>
      <c r="M96" s="45">
        <f t="shared" si="71"/>
        <v>-6057.7777777777774</v>
      </c>
      <c r="N96" s="45">
        <f t="shared" si="71"/>
        <v>-6093.3703703703695</v>
      </c>
    </row>
    <row r="97" spans="2:14" outlineLevel="1">
      <c r="B97" s="5" t="s">
        <v>94</v>
      </c>
      <c r="E97" s="11">
        <v>-6481</v>
      </c>
      <c r="F97" s="11">
        <v>-6834</v>
      </c>
      <c r="G97" s="11">
        <v>-4087</v>
      </c>
      <c r="H97" s="11">
        <v>-7191</v>
      </c>
      <c r="I97" s="11">
        <v>-10581</v>
      </c>
      <c r="J97" s="55">
        <f>-(J56-I56)</f>
        <v>-10868.744109589039</v>
      </c>
      <c r="K97" s="45">
        <f t="shared" ref="K97:N97" si="72">-(K56-J56)</f>
        <v>-11095.294520547934</v>
      </c>
      <c r="L97" s="45">
        <f t="shared" si="72"/>
        <v>-13780.355794520525</v>
      </c>
      <c r="M97" s="45">
        <f t="shared" si="72"/>
        <v>-15847.409163698627</v>
      </c>
      <c r="N97" s="45">
        <f t="shared" si="72"/>
        <v>-18224.52053825339</v>
      </c>
    </row>
    <row r="98" spans="2:14" outlineLevel="1">
      <c r="B98" s="5" t="s">
        <v>95</v>
      </c>
      <c r="E98" s="11">
        <v>-737</v>
      </c>
      <c r="F98" s="11">
        <v>-1123</v>
      </c>
      <c r="G98" s="11">
        <v>1242</v>
      </c>
      <c r="H98" s="11">
        <v>1284</v>
      </c>
      <c r="I98" s="11">
        <v>309</v>
      </c>
      <c r="J98" s="50">
        <f>-(J57-I57)</f>
        <v>112.51008767123301</v>
      </c>
      <c r="K98" s="40">
        <f t="shared" ref="K98:N98" si="73">-(K57-J57)</f>
        <v>172.19897095890406</v>
      </c>
      <c r="L98" s="40">
        <f t="shared" si="73"/>
        <v>-121.47128441095879</v>
      </c>
      <c r="M98" s="40">
        <f t="shared" si="73"/>
        <v>-89.215044180821792</v>
      </c>
      <c r="N98" s="40">
        <f t="shared" si="73"/>
        <v>-67.498224215753453</v>
      </c>
    </row>
    <row r="99" spans="2:14" outlineLevel="1">
      <c r="B99" s="5" t="s">
        <v>96</v>
      </c>
      <c r="E99" s="11">
        <v>-932</v>
      </c>
      <c r="F99" s="11">
        <v>-709</v>
      </c>
      <c r="G99" s="11">
        <v>-1991</v>
      </c>
      <c r="H99" s="11">
        <v>-1648</v>
      </c>
      <c r="I99" s="11">
        <v>-3044</v>
      </c>
      <c r="J99" s="55">
        <f>-(J58-I58)</f>
        <v>1206</v>
      </c>
      <c r="K99" s="45">
        <f t="shared" ref="K99:N99" si="74">-(K58-J58)</f>
        <v>-903.33333333333212</v>
      </c>
      <c r="L99" s="45">
        <f t="shared" si="74"/>
        <v>200.22222222222263</v>
      </c>
      <c r="M99" s="45">
        <f t="shared" si="74"/>
        <v>167.62962962963138</v>
      </c>
      <c r="N99" s="45">
        <f t="shared" si="74"/>
        <v>-178.49382716049149</v>
      </c>
    </row>
    <row r="100" spans="2:14" outlineLevel="1">
      <c r="B100" s="5" t="s">
        <v>97</v>
      </c>
      <c r="E100" s="11">
        <v>-3459</v>
      </c>
      <c r="F100" s="11">
        <v>-2805</v>
      </c>
      <c r="G100" s="11">
        <v>-2833</v>
      </c>
      <c r="H100" s="11">
        <v>-6817</v>
      </c>
      <c r="I100" s="11">
        <v>-2950</v>
      </c>
      <c r="J100" s="55">
        <f>-(J65-I65)</f>
        <v>-6084.75</v>
      </c>
      <c r="K100" s="45">
        <f t="shared" ref="K100:N100" si="75">-(K65-J65)</f>
        <v>-6997.4624999999942</v>
      </c>
      <c r="L100" s="45">
        <f t="shared" si="75"/>
        <v>-8047.0818749999962</v>
      </c>
      <c r="M100" s="45">
        <f t="shared" si="75"/>
        <v>-9254.1441562499895</v>
      </c>
      <c r="N100" s="45">
        <f t="shared" si="75"/>
        <v>-10642.265779687485</v>
      </c>
    </row>
    <row r="101" spans="2:14" outlineLevel="1">
      <c r="B101" s="5" t="s">
        <v>98</v>
      </c>
      <c r="E101" s="11">
        <v>2798</v>
      </c>
      <c r="F101" s="11">
        <v>2943</v>
      </c>
      <c r="G101" s="11">
        <v>-2721</v>
      </c>
      <c r="H101" s="11">
        <v>3545</v>
      </c>
      <c r="I101" s="11">
        <v>569</v>
      </c>
      <c r="J101" s="55">
        <f>-(J68-I68)</f>
        <v>-3919.7799726027333</v>
      </c>
      <c r="K101" s="45">
        <f t="shared" ref="K101:N101" si="76">-(K68-J68)</f>
        <v>-6247.0946268493171</v>
      </c>
      <c r="L101" s="45">
        <f t="shared" si="76"/>
        <v>-7432.7156087260228</v>
      </c>
      <c r="M101" s="45">
        <f t="shared" si="76"/>
        <v>-5219.0800845780686</v>
      </c>
      <c r="N101" s="45">
        <f t="shared" si="76"/>
        <v>-3948.6461166215813</v>
      </c>
    </row>
    <row r="102" spans="2:14" outlineLevel="1">
      <c r="B102" s="5" t="s">
        <v>99</v>
      </c>
      <c r="E102" s="11">
        <v>4633</v>
      </c>
      <c r="F102" s="11">
        <v>5109</v>
      </c>
      <c r="G102" s="11">
        <v>5535</v>
      </c>
      <c r="H102" s="11">
        <v>5348</v>
      </c>
      <c r="I102" s="11">
        <v>5438</v>
      </c>
      <c r="J102" s="55">
        <f>AVERAGE(G102:I102)</f>
        <v>5440.333333333333</v>
      </c>
      <c r="K102" s="45">
        <f t="shared" ref="K102:N102" si="77">AVERAGE(H102:J102)</f>
        <v>5408.7777777777774</v>
      </c>
      <c r="L102" s="45">
        <f t="shared" si="77"/>
        <v>5429.0370370370365</v>
      </c>
      <c r="M102" s="45">
        <f t="shared" si="77"/>
        <v>5426.049382716049</v>
      </c>
      <c r="N102" s="45">
        <f t="shared" si="77"/>
        <v>5421.2880658436216</v>
      </c>
    </row>
    <row r="103" spans="2:14" outlineLevel="1">
      <c r="B103" s="5" t="s">
        <v>100</v>
      </c>
      <c r="E103" s="11">
        <v>-2309</v>
      </c>
      <c r="F103" s="11">
        <v>696</v>
      </c>
      <c r="G103" s="11">
        <v>-358</v>
      </c>
      <c r="H103" s="11">
        <v>1687</v>
      </c>
      <c r="I103" s="11">
        <v>-38</v>
      </c>
      <c r="J103" s="55">
        <f>-(J77-I77)</f>
        <v>-506.33333333333212</v>
      </c>
      <c r="K103" s="45">
        <f t="shared" ref="K103:N103" si="78">-(K77-J77)</f>
        <v>-310.77777777777737</v>
      </c>
      <c r="L103" s="45">
        <f t="shared" si="78"/>
        <v>375.9629629629635</v>
      </c>
      <c r="M103" s="45">
        <f t="shared" si="78"/>
        <v>-147.04938271604988</v>
      </c>
      <c r="N103" s="45">
        <f t="shared" si="78"/>
        <v>-27.288065843622462</v>
      </c>
    </row>
    <row r="104" spans="2:14" outlineLevel="1">
      <c r="B104" s="5" t="s">
        <v>101</v>
      </c>
      <c r="E104" s="11">
        <v>4149</v>
      </c>
      <c r="F104" s="11">
        <v>2344</v>
      </c>
      <c r="G104" s="11">
        <v>2272</v>
      </c>
      <c r="H104" s="11">
        <v>4867</v>
      </c>
      <c r="I104" s="11">
        <v>5922</v>
      </c>
      <c r="J104" s="55">
        <f>-(J74-I74)</f>
        <v>-3752.9999999999964</v>
      </c>
      <c r="K104" s="45">
        <f t="shared" ref="K104:N104" si="79">-(K74-J74)</f>
        <v>-4315.9499999999935</v>
      </c>
      <c r="L104" s="45">
        <f t="shared" si="79"/>
        <v>-4963.3424999999988</v>
      </c>
      <c r="M104" s="45">
        <f t="shared" si="79"/>
        <v>-5707.8438749999914</v>
      </c>
      <c r="N104" s="45">
        <f t="shared" si="79"/>
        <v>-6564.020456249993</v>
      </c>
    </row>
    <row r="105" spans="2:14" outlineLevel="1">
      <c r="B105" s="5" t="s">
        <v>102</v>
      </c>
      <c r="E105" s="11">
        <v>1402</v>
      </c>
      <c r="F105" s="11">
        <v>825</v>
      </c>
      <c r="G105" s="11">
        <v>553</v>
      </c>
      <c r="H105" s="11">
        <v>749</v>
      </c>
      <c r="I105" s="11">
        <v>-975</v>
      </c>
      <c r="J105" s="55">
        <f>AVERAGE(G105:I105)</f>
        <v>109</v>
      </c>
      <c r="K105" s="45">
        <f t="shared" ref="K105:N105" si="80">AVERAGE(H105:J105)</f>
        <v>-39</v>
      </c>
      <c r="L105" s="45">
        <f t="shared" si="80"/>
        <v>-301.66666666666669</v>
      </c>
      <c r="M105" s="45">
        <f t="shared" si="80"/>
        <v>-77.222222222222229</v>
      </c>
      <c r="N105" s="45">
        <f t="shared" si="80"/>
        <v>-139.2962962962963</v>
      </c>
    </row>
    <row r="106" spans="2:14" outlineLevel="1">
      <c r="B106" s="17" t="s">
        <v>103</v>
      </c>
      <c r="C106" s="17"/>
      <c r="D106" s="17"/>
      <c r="E106" s="18">
        <f>SUM(E92:E105)</f>
        <v>76740</v>
      </c>
      <c r="F106" s="18">
        <f>SUM(F92:F105)</f>
        <v>89035</v>
      </c>
      <c r="G106" s="18">
        <f>SUM(G92:G105)</f>
        <v>87582</v>
      </c>
      <c r="H106" s="18">
        <f>SUM(H92:H105)</f>
        <v>118548</v>
      </c>
      <c r="I106" s="18">
        <f>SUM(I92:I105)</f>
        <v>136162</v>
      </c>
      <c r="J106" s="53">
        <f t="shared" ref="J106:N106" si="81">SUM(J92:J105)</f>
        <v>139271.13784765668</v>
      </c>
      <c r="K106" s="18">
        <f t="shared" si="81"/>
        <v>170543.17554977746</v>
      </c>
      <c r="L106" s="18">
        <f t="shared" si="81"/>
        <v>221336.7599189856</v>
      </c>
      <c r="M106" s="18">
        <f t="shared" si="81"/>
        <v>275490.05132672319</v>
      </c>
      <c r="N106" s="18">
        <f t="shared" si="81"/>
        <v>320580.25571707729</v>
      </c>
    </row>
    <row r="107" spans="2:14" outlineLevel="1">
      <c r="E107" s="10"/>
      <c r="F107" s="10"/>
      <c r="G107" s="10"/>
      <c r="H107" s="10"/>
      <c r="I107" s="10"/>
      <c r="J107" s="47"/>
    </row>
    <row r="108" spans="2:14" outlineLevel="1">
      <c r="B108" s="5" t="s">
        <v>104</v>
      </c>
      <c r="E108" s="11">
        <v>-1754</v>
      </c>
      <c r="F108" s="11">
        <v>0</v>
      </c>
      <c r="G108" s="11">
        <v>0</v>
      </c>
      <c r="H108" s="11">
        <v>0</v>
      </c>
      <c r="I108" s="11">
        <v>0</v>
      </c>
      <c r="J108" s="56">
        <v>0</v>
      </c>
      <c r="K108" s="46">
        <v>0</v>
      </c>
      <c r="L108" s="46">
        <v>0</v>
      </c>
      <c r="M108" s="46">
        <v>0</v>
      </c>
      <c r="N108" s="46">
        <v>0</v>
      </c>
    </row>
    <row r="109" spans="2:14" outlineLevel="1">
      <c r="B109" s="5" t="s">
        <v>105</v>
      </c>
      <c r="E109" s="11">
        <v>0</v>
      </c>
      <c r="F109" s="11">
        <v>0</v>
      </c>
      <c r="G109" s="11">
        <v>0</v>
      </c>
      <c r="H109" s="11">
        <v>5250</v>
      </c>
      <c r="I109" s="11">
        <v>-5746</v>
      </c>
      <c r="J109" s="56">
        <v>0</v>
      </c>
      <c r="K109" s="46">
        <v>0</v>
      </c>
      <c r="L109" s="46">
        <v>0</v>
      </c>
      <c r="M109" s="46">
        <v>0</v>
      </c>
      <c r="N109" s="46">
        <v>0</v>
      </c>
    </row>
    <row r="110" spans="2:14" outlineLevel="1">
      <c r="B110" s="5" t="s">
        <v>106</v>
      </c>
      <c r="E110" s="11">
        <v>0</v>
      </c>
      <c r="F110" s="11">
        <v>0</v>
      </c>
      <c r="G110" s="11">
        <v>0</v>
      </c>
      <c r="H110" s="11">
        <v>24395</v>
      </c>
      <c r="I110" s="11">
        <v>0</v>
      </c>
      <c r="J110" s="55">
        <f>J150</f>
        <v>15000</v>
      </c>
      <c r="K110" s="45">
        <f t="shared" ref="K110:N110" si="82">K150</f>
        <v>12000</v>
      </c>
      <c r="L110" s="45">
        <f t="shared" si="82"/>
        <v>0</v>
      </c>
      <c r="M110" s="45">
        <f t="shared" si="82"/>
        <v>0</v>
      </c>
      <c r="N110" s="45">
        <f t="shared" si="82"/>
        <v>13000</v>
      </c>
    </row>
    <row r="111" spans="2:14" outlineLevel="1">
      <c r="B111" s="5" t="s">
        <v>107</v>
      </c>
      <c r="E111" s="11">
        <v>-3750</v>
      </c>
      <c r="F111" s="11">
        <v>-9023</v>
      </c>
      <c r="G111" s="11">
        <v>-2750</v>
      </c>
      <c r="H111" s="11">
        <v>-29070</v>
      </c>
      <c r="I111" s="11">
        <v>-3216</v>
      </c>
      <c r="J111" s="50">
        <f>J151</f>
        <v>10000</v>
      </c>
      <c r="K111" s="40">
        <f t="shared" ref="K111:N111" si="83">K151</f>
        <v>2000</v>
      </c>
      <c r="L111" s="40">
        <f t="shared" si="83"/>
        <v>5000</v>
      </c>
      <c r="M111" s="40">
        <f t="shared" si="83"/>
        <v>9000</v>
      </c>
      <c r="N111" s="40">
        <f t="shared" si="83"/>
        <v>2000</v>
      </c>
    </row>
    <row r="112" spans="2:14" outlineLevel="1">
      <c r="B112" s="5" t="s">
        <v>108</v>
      </c>
      <c r="E112" s="11">
        <v>1693</v>
      </c>
      <c r="F112" s="11">
        <v>1841</v>
      </c>
      <c r="G112" s="11">
        <v>1866</v>
      </c>
      <c r="H112" s="11">
        <v>2002</v>
      </c>
      <c r="I112" s="11">
        <v>2056</v>
      </c>
      <c r="J112" s="55">
        <v>2000</v>
      </c>
      <c r="K112" s="45">
        <v>2000</v>
      </c>
      <c r="L112" s="45">
        <v>2000</v>
      </c>
      <c r="M112" s="45">
        <v>2000</v>
      </c>
      <c r="N112" s="45">
        <v>2000</v>
      </c>
    </row>
    <row r="113" spans="2:14" outlineLevel="1">
      <c r="B113" s="5" t="s">
        <v>109</v>
      </c>
      <c r="E113" s="11">
        <v>-27385</v>
      </c>
      <c r="F113" s="11">
        <v>-32696</v>
      </c>
      <c r="G113" s="11">
        <v>-22245</v>
      </c>
      <c r="H113" s="11">
        <v>-17254</v>
      </c>
      <c r="I113" s="11">
        <v>-18420</v>
      </c>
      <c r="J113" s="57">
        <v>-15000</v>
      </c>
      <c r="K113" s="11">
        <v>-15000</v>
      </c>
      <c r="L113" s="11">
        <v>-15000</v>
      </c>
      <c r="M113" s="11">
        <v>-15000</v>
      </c>
      <c r="N113" s="11">
        <v>-15000</v>
      </c>
    </row>
    <row r="114" spans="2:14" outlineLevel="1">
      <c r="B114" s="5" t="s">
        <v>110</v>
      </c>
      <c r="E114" s="11">
        <v>-16521</v>
      </c>
      <c r="F114" s="11">
        <v>-18135</v>
      </c>
      <c r="G114" s="11">
        <v>-19800</v>
      </c>
      <c r="H114" s="11">
        <v>-21771</v>
      </c>
      <c r="I114" s="11">
        <v>-24082</v>
      </c>
      <c r="J114" s="57">
        <f>I114*(1+9%)</f>
        <v>-26249.38</v>
      </c>
      <c r="K114" s="11">
        <f t="shared" ref="K114:N114" si="84">J114*(1+9%)</f>
        <v>-28611.824200000003</v>
      </c>
      <c r="L114" s="11">
        <f t="shared" si="84"/>
        <v>-31186.888378000007</v>
      </c>
      <c r="M114" s="11">
        <f t="shared" si="84"/>
        <v>-33993.708332020011</v>
      </c>
      <c r="N114" s="11">
        <f t="shared" si="84"/>
        <v>-37053.142081901817</v>
      </c>
    </row>
    <row r="115" spans="2:14" outlineLevel="1">
      <c r="B115" s="5" t="s">
        <v>111</v>
      </c>
      <c r="E115" s="11">
        <v>-769</v>
      </c>
      <c r="F115" s="11">
        <v>-863</v>
      </c>
      <c r="G115" s="11">
        <v>-1006</v>
      </c>
      <c r="H115" s="11">
        <v>-1309</v>
      </c>
      <c r="I115" s="11">
        <v>-2291</v>
      </c>
      <c r="J115" s="57">
        <v>-1500</v>
      </c>
      <c r="K115" s="11">
        <v>-1500</v>
      </c>
      <c r="L115" s="11">
        <v>-1500</v>
      </c>
      <c r="M115" s="11">
        <v>-1500</v>
      </c>
      <c r="N115" s="11">
        <v>-1500</v>
      </c>
    </row>
    <row r="116" spans="2:14" outlineLevel="1">
      <c r="B116" s="17" t="s">
        <v>112</v>
      </c>
      <c r="C116" s="17"/>
      <c r="D116" s="17"/>
      <c r="E116" s="18">
        <f>SUM(E108:E115)</f>
        <v>-48486</v>
      </c>
      <c r="F116" s="18">
        <f>SUM(F108:F115)</f>
        <v>-58876</v>
      </c>
      <c r="G116" s="18">
        <f>SUM(G108:G115)</f>
        <v>-43935</v>
      </c>
      <c r="H116" s="18">
        <f>SUM(H108:H115)</f>
        <v>-37757</v>
      </c>
      <c r="I116" s="18">
        <f>SUM(I108:I115)</f>
        <v>-51699</v>
      </c>
      <c r="J116" s="53">
        <f t="shared" ref="J116:N116" si="85">SUM(J108:J115)</f>
        <v>-15749.380000000001</v>
      </c>
      <c r="K116" s="18">
        <f t="shared" si="85"/>
        <v>-29111.824200000003</v>
      </c>
      <c r="L116" s="18">
        <f t="shared" si="85"/>
        <v>-40686.888378000003</v>
      </c>
      <c r="M116" s="18">
        <f t="shared" si="85"/>
        <v>-39493.708332020011</v>
      </c>
      <c r="N116" s="18">
        <f t="shared" si="85"/>
        <v>-36553.142081901817</v>
      </c>
    </row>
    <row r="117" spans="2:14" outlineLevel="1">
      <c r="E117" s="10"/>
      <c r="F117" s="10"/>
      <c r="G117" s="10"/>
      <c r="H117" s="10"/>
      <c r="I117" s="10"/>
      <c r="J117" s="47"/>
    </row>
    <row r="118" spans="2:14" outlineLevel="1">
      <c r="B118" s="5" t="s">
        <v>113</v>
      </c>
      <c r="E118" s="11">
        <v>-20622</v>
      </c>
      <c r="F118" s="11">
        <v>-23886</v>
      </c>
      <c r="G118" s="11">
        <v>-28107</v>
      </c>
      <c r="H118" s="11">
        <v>-44477</v>
      </c>
      <c r="I118" s="11">
        <v>-64551</v>
      </c>
      <c r="J118" s="55">
        <f>J23</f>
        <v>-110000</v>
      </c>
      <c r="K118" s="45">
        <f t="shared" ref="K118:N118" si="86">K23</f>
        <v>-150000</v>
      </c>
      <c r="L118" s="45">
        <f t="shared" si="86"/>
        <v>-140000</v>
      </c>
      <c r="M118" s="45">
        <f t="shared" si="86"/>
        <v>-120000</v>
      </c>
      <c r="N118" s="45">
        <f t="shared" si="86"/>
        <v>-130000</v>
      </c>
    </row>
    <row r="119" spans="2:14" outlineLevel="1">
      <c r="B119" s="5" t="s">
        <v>114</v>
      </c>
      <c r="E119" s="11">
        <v>-8909</v>
      </c>
      <c r="F119" s="11">
        <v>-22038</v>
      </c>
      <c r="G119" s="11">
        <v>-1670</v>
      </c>
      <c r="H119" s="11">
        <v>-69132</v>
      </c>
      <c r="I119" s="11">
        <v>-5978</v>
      </c>
      <c r="J119" s="55">
        <v>-10000</v>
      </c>
      <c r="K119" s="45">
        <v>-10000</v>
      </c>
      <c r="L119" s="45">
        <v>-30000</v>
      </c>
      <c r="M119" s="45">
        <v>-50000</v>
      </c>
      <c r="N119" s="45">
        <v>-80000</v>
      </c>
    </row>
    <row r="120" spans="2:14" outlineLevel="1">
      <c r="B120" s="5" t="s">
        <v>115</v>
      </c>
      <c r="E120" s="11">
        <v>-62924</v>
      </c>
      <c r="F120" s="11">
        <v>-26456</v>
      </c>
      <c r="G120" s="11">
        <v>-37651</v>
      </c>
      <c r="H120" s="11">
        <v>-17732</v>
      </c>
      <c r="I120" s="11">
        <v>-29775</v>
      </c>
      <c r="J120" s="55">
        <f>AVERAGE(H120:I120)</f>
        <v>-23753.5</v>
      </c>
      <c r="K120" s="45">
        <v>-10000</v>
      </c>
      <c r="L120" s="45">
        <v>-35000</v>
      </c>
      <c r="M120" s="45">
        <v>-80000</v>
      </c>
      <c r="N120" s="45">
        <v>-100000</v>
      </c>
    </row>
    <row r="121" spans="2:14" outlineLevel="1">
      <c r="B121" s="5" t="s">
        <v>116</v>
      </c>
      <c r="E121" s="11">
        <v>51792</v>
      </c>
      <c r="F121" s="11">
        <v>16451</v>
      </c>
      <c r="G121" s="11">
        <v>33510</v>
      </c>
      <c r="H121" s="11">
        <v>24775</v>
      </c>
      <c r="I121" s="11">
        <v>16079</v>
      </c>
      <c r="J121" s="55">
        <f>AVERAGE(G121:I121)</f>
        <v>24788</v>
      </c>
      <c r="K121" s="45">
        <f t="shared" ref="K121:N121" si="87">AVERAGE(H121:J121)</f>
        <v>21880.666666666668</v>
      </c>
      <c r="L121" s="45">
        <f t="shared" si="87"/>
        <v>20915.888888888891</v>
      </c>
      <c r="M121" s="45">
        <f t="shared" si="87"/>
        <v>22528.185185185186</v>
      </c>
      <c r="N121" s="45">
        <f t="shared" si="87"/>
        <v>21774.913580246914</v>
      </c>
    </row>
    <row r="122" spans="2:14" outlineLevel="1">
      <c r="B122" s="5" t="s">
        <v>117</v>
      </c>
      <c r="E122" s="11">
        <v>14008</v>
      </c>
      <c r="F122" s="11">
        <v>28443</v>
      </c>
      <c r="G122" s="11">
        <v>14354</v>
      </c>
      <c r="H122" s="11">
        <v>10894</v>
      </c>
      <c r="I122" s="11">
        <v>9309</v>
      </c>
      <c r="J122" s="55">
        <f>AVERAGE(G122:I122)</f>
        <v>11519</v>
      </c>
      <c r="K122" s="45">
        <f t="shared" ref="K122:N122" si="88">AVERAGE(H122:J122)</f>
        <v>10574</v>
      </c>
      <c r="L122" s="45">
        <f t="shared" si="88"/>
        <v>10467.333333333334</v>
      </c>
      <c r="M122" s="45">
        <f t="shared" si="88"/>
        <v>10853.444444444445</v>
      </c>
      <c r="N122" s="45">
        <f t="shared" si="88"/>
        <v>10631.592592592593</v>
      </c>
    </row>
    <row r="123" spans="2:14" outlineLevel="1">
      <c r="B123" s="5" t="s">
        <v>118</v>
      </c>
      <c r="E123" s="11">
        <v>-922</v>
      </c>
      <c r="F123" s="11">
        <v>-2825</v>
      </c>
      <c r="G123" s="11">
        <v>-3116</v>
      </c>
      <c r="H123" s="11">
        <v>-1298</v>
      </c>
      <c r="I123" s="11">
        <v>2317</v>
      </c>
      <c r="J123" s="55">
        <f>-I123*(1+5%)</f>
        <v>-2432.85</v>
      </c>
      <c r="K123" s="45">
        <f t="shared" ref="K123:N123" si="89">J123*(1+5%)</f>
        <v>-2554.4924999999998</v>
      </c>
      <c r="L123" s="45">
        <f t="shared" si="89"/>
        <v>-2682.2171250000001</v>
      </c>
      <c r="M123" s="45">
        <f t="shared" si="89"/>
        <v>-2816.3279812500004</v>
      </c>
      <c r="N123" s="45">
        <f t="shared" si="89"/>
        <v>-2957.1443803125007</v>
      </c>
    </row>
    <row r="124" spans="2:14" outlineLevel="1">
      <c r="B124" s="17" t="s">
        <v>119</v>
      </c>
      <c r="C124" s="17"/>
      <c r="D124" s="17"/>
      <c r="E124" s="18">
        <f>SUM(E118:E123)</f>
        <v>-27577</v>
      </c>
      <c r="F124" s="18">
        <f>SUM(F118:F123)</f>
        <v>-30311</v>
      </c>
      <c r="G124" s="18">
        <f>SUM(G118:G123)</f>
        <v>-22680</v>
      </c>
      <c r="H124" s="18">
        <f>SUM(H118:H123)</f>
        <v>-96970</v>
      </c>
      <c r="I124" s="18">
        <f>SUM(I118:I123)</f>
        <v>-72599</v>
      </c>
      <c r="J124" s="53">
        <f t="shared" ref="J124:N124" si="90">SUM(J118:J123)</f>
        <v>-109879.35</v>
      </c>
      <c r="K124" s="18">
        <f t="shared" si="90"/>
        <v>-140099.82583333334</v>
      </c>
      <c r="L124" s="18">
        <f t="shared" si="90"/>
        <v>-176298.99490277778</v>
      </c>
      <c r="M124" s="18">
        <f t="shared" si="90"/>
        <v>-219434.69835162038</v>
      </c>
      <c r="N124" s="18">
        <f t="shared" si="90"/>
        <v>-280550.63820747304</v>
      </c>
    </row>
    <row r="125" spans="2:14" outlineLevel="1">
      <c r="B125" s="5" t="s">
        <v>120</v>
      </c>
      <c r="E125" s="11">
        <v>-29</v>
      </c>
      <c r="F125" s="11">
        <v>-141</v>
      </c>
      <c r="G125" s="11">
        <v>-194</v>
      </c>
      <c r="H125" s="11">
        <v>-210</v>
      </c>
      <c r="I125" s="11">
        <v>63</v>
      </c>
      <c r="J125" s="55">
        <f>AVERAGE(G125:I125)</f>
        <v>-113.66666666666667</v>
      </c>
      <c r="K125" s="45">
        <f t="shared" ref="K125:N125" si="91">AVERAGE(H125:J125)</f>
        <v>-86.8888888888889</v>
      </c>
      <c r="L125" s="45">
        <f t="shared" si="91"/>
        <v>-45.851851851851855</v>
      </c>
      <c r="M125" s="45">
        <f t="shared" si="91"/>
        <v>-82.135802469135811</v>
      </c>
      <c r="N125" s="45">
        <f t="shared" si="91"/>
        <v>-71.625514403292186</v>
      </c>
    </row>
    <row r="126" spans="2:14" outlineLevel="1">
      <c r="B126" s="17" t="s">
        <v>121</v>
      </c>
      <c r="C126" s="17"/>
      <c r="D126" s="17"/>
      <c r="E126" s="18">
        <f>E106+E116+E124+E125</f>
        <v>648</v>
      </c>
      <c r="F126" s="18">
        <f>F106+F116+F124+F125</f>
        <v>-293</v>
      </c>
      <c r="G126" s="18">
        <f>G106+G116+G124+G125</f>
        <v>20773</v>
      </c>
      <c r="H126" s="18">
        <f>H106+H116+H124+H125</f>
        <v>-16389</v>
      </c>
      <c r="I126" s="18">
        <f>I106+I116+I124+I125</f>
        <v>11927</v>
      </c>
      <c r="J126" s="53">
        <f t="shared" ref="J126:N126" si="92">J106+J116+J124+J125</f>
        <v>13528.741180989999</v>
      </c>
      <c r="K126" s="18">
        <f t="shared" si="92"/>
        <v>1244.6366275552298</v>
      </c>
      <c r="L126" s="18">
        <f t="shared" si="92"/>
        <v>4305.0247863559653</v>
      </c>
      <c r="M126" s="18">
        <f t="shared" si="92"/>
        <v>16479.508840613671</v>
      </c>
      <c r="N126" s="18">
        <f t="shared" si="92"/>
        <v>3404.8499132991265</v>
      </c>
    </row>
    <row r="127" spans="2:14" outlineLevel="1">
      <c r="B127" s="5" t="s">
        <v>122</v>
      </c>
      <c r="E127" s="11">
        <v>13576</v>
      </c>
      <c r="F127" s="11">
        <v>14224</v>
      </c>
      <c r="G127" s="11">
        <v>13931</v>
      </c>
      <c r="H127" s="11">
        <v>34704</v>
      </c>
      <c r="I127" s="11">
        <v>18315</v>
      </c>
      <c r="J127" s="55">
        <f>I128</f>
        <v>30242</v>
      </c>
      <c r="K127" s="45">
        <f t="shared" ref="K127:N127" si="93">J128</f>
        <v>43770.74118099</v>
      </c>
      <c r="L127" s="45">
        <f t="shared" si="93"/>
        <v>45015.377808545229</v>
      </c>
      <c r="M127" s="45">
        <f t="shared" si="93"/>
        <v>49320.402594901192</v>
      </c>
      <c r="N127" s="45">
        <f t="shared" si="93"/>
        <v>65799.911435514863</v>
      </c>
    </row>
    <row r="128" spans="2:14" outlineLevel="1">
      <c r="B128" s="17" t="s">
        <v>123</v>
      </c>
      <c r="C128" s="17"/>
      <c r="D128" s="17"/>
      <c r="E128" s="18">
        <f>E127+E126</f>
        <v>14224</v>
      </c>
      <c r="F128" s="18">
        <f>F127+F126</f>
        <v>13931</v>
      </c>
      <c r="G128" s="18">
        <f>G127+G126</f>
        <v>34704</v>
      </c>
      <c r="H128" s="18">
        <f>H127+H126</f>
        <v>18315</v>
      </c>
      <c r="I128" s="18">
        <f>I127+I126</f>
        <v>30242</v>
      </c>
      <c r="J128" s="53">
        <f t="shared" ref="J128:N128" si="94">J127+J126</f>
        <v>43770.74118099</v>
      </c>
      <c r="K128" s="18">
        <f t="shared" si="94"/>
        <v>45015.377808545229</v>
      </c>
      <c r="L128" s="18">
        <f t="shared" si="94"/>
        <v>49320.402594901192</v>
      </c>
      <c r="M128" s="18">
        <f t="shared" si="94"/>
        <v>65799.911435514863</v>
      </c>
      <c r="N128" s="18">
        <f t="shared" si="94"/>
        <v>69204.76134881399</v>
      </c>
    </row>
    <row r="129" spans="2:14" outlineLevel="1">
      <c r="B129" s="20" t="s">
        <v>124</v>
      </c>
      <c r="C129" s="20"/>
      <c r="D129" s="20"/>
      <c r="E129" s="21">
        <f>E128-E53</f>
        <v>0</v>
      </c>
      <c r="F129" s="21">
        <f>F128-F53</f>
        <v>0</v>
      </c>
      <c r="G129" s="21">
        <f>G128-G53</f>
        <v>0</v>
      </c>
      <c r="H129" s="21">
        <f>H128-H53</f>
        <v>0</v>
      </c>
      <c r="I129" s="21">
        <f t="shared" ref="I129:N129" si="95">I128-I53</f>
        <v>0</v>
      </c>
      <c r="J129" s="21">
        <f t="shared" si="95"/>
        <v>0</v>
      </c>
      <c r="K129" s="21">
        <f t="shared" si="95"/>
        <v>0</v>
      </c>
      <c r="L129" s="21">
        <f t="shared" si="95"/>
        <v>0</v>
      </c>
      <c r="M129" s="21">
        <f t="shared" si="95"/>
        <v>0</v>
      </c>
      <c r="N129" s="21">
        <f t="shared" si="95"/>
        <v>0</v>
      </c>
    </row>
    <row r="130" spans="2:14">
      <c r="E130" s="10"/>
      <c r="F130" s="10"/>
      <c r="G130" s="10"/>
      <c r="H130" s="10"/>
      <c r="I130" s="10"/>
    </row>
    <row r="132" spans="2:14" ht="18">
      <c r="B132" s="172" t="s">
        <v>125</v>
      </c>
      <c r="C132" s="170"/>
      <c r="D132" s="170"/>
      <c r="E132" s="170"/>
      <c r="F132" s="170"/>
      <c r="G132" s="170"/>
      <c r="H132" s="170"/>
      <c r="I132" s="170"/>
      <c r="J132" s="171"/>
      <c r="K132" s="171"/>
      <c r="L132" s="171"/>
      <c r="M132" s="171"/>
      <c r="N132" s="171"/>
    </row>
    <row r="134" spans="2:14" outlineLevel="1">
      <c r="B134" s="17" t="s">
        <v>126</v>
      </c>
    </row>
    <row r="135" spans="2:14" outlineLevel="1">
      <c r="B135" s="5" t="s">
        <v>127</v>
      </c>
      <c r="E135" s="10">
        <f>E56</f>
        <v>38043</v>
      </c>
      <c r="F135" s="10">
        <f t="shared" ref="F135:I135" si="96">F56</f>
        <v>44261</v>
      </c>
      <c r="G135" s="10">
        <f t="shared" si="96"/>
        <v>48688</v>
      </c>
      <c r="H135" s="10">
        <f t="shared" si="96"/>
        <v>56924</v>
      </c>
      <c r="I135" s="10">
        <f t="shared" si="96"/>
        <v>69905</v>
      </c>
      <c r="J135" s="55">
        <f>J56</f>
        <v>80773.744109589039</v>
      </c>
      <c r="K135" s="10">
        <f t="shared" ref="K135:N135" si="97">K56</f>
        <v>91869.038630136973</v>
      </c>
      <c r="L135" s="10">
        <f t="shared" si="97"/>
        <v>105649.3944246575</v>
      </c>
      <c r="M135" s="10">
        <f t="shared" si="97"/>
        <v>121496.80358835612</v>
      </c>
      <c r="N135" s="10">
        <f t="shared" si="97"/>
        <v>139721.32412660951</v>
      </c>
    </row>
    <row r="136" spans="2:14" outlineLevel="1">
      <c r="B136" s="5" t="s">
        <v>128</v>
      </c>
      <c r="E136" s="10">
        <f>E57</f>
        <v>2636</v>
      </c>
      <c r="F136" s="10">
        <f t="shared" ref="F136:I136" si="98">F57</f>
        <v>3742</v>
      </c>
      <c r="G136" s="10">
        <f t="shared" si="98"/>
        <v>2500</v>
      </c>
      <c r="H136" s="10">
        <f t="shared" si="98"/>
        <v>1246</v>
      </c>
      <c r="I136" s="10">
        <f t="shared" si="98"/>
        <v>938</v>
      </c>
      <c r="J136" s="55">
        <f>J57</f>
        <v>825.48991232876699</v>
      </c>
      <c r="K136" s="10">
        <f t="shared" ref="K136:N136" si="99">K57</f>
        <v>653.29094136986294</v>
      </c>
      <c r="L136" s="10">
        <f t="shared" si="99"/>
        <v>774.76222578082172</v>
      </c>
      <c r="M136" s="10">
        <f t="shared" si="99"/>
        <v>863.97726996164351</v>
      </c>
      <c r="N136" s="10">
        <f t="shared" si="99"/>
        <v>931.47549417739697</v>
      </c>
    </row>
    <row r="137" spans="2:14" outlineLevel="1">
      <c r="B137" s="5" t="s">
        <v>129</v>
      </c>
      <c r="E137" s="10">
        <f>E68</f>
        <v>15163</v>
      </c>
      <c r="F137" s="10">
        <f t="shared" ref="F137:I137" si="100">F68</f>
        <v>19000</v>
      </c>
      <c r="G137" s="10">
        <f t="shared" si="100"/>
        <v>18095</v>
      </c>
      <c r="H137" s="10">
        <f t="shared" si="100"/>
        <v>21996</v>
      </c>
      <c r="I137" s="10">
        <f t="shared" si="100"/>
        <v>27724</v>
      </c>
      <c r="J137" s="55">
        <f>J68</f>
        <v>31643.779972602733</v>
      </c>
      <c r="K137" s="10">
        <f t="shared" ref="K137:N137" si="101">K68</f>
        <v>37890.87459945205</v>
      </c>
      <c r="L137" s="10">
        <f t="shared" si="101"/>
        <v>45323.590208178073</v>
      </c>
      <c r="M137" s="10">
        <f t="shared" si="101"/>
        <v>50542.670292756142</v>
      </c>
      <c r="N137" s="10">
        <f t="shared" si="101"/>
        <v>54491.316409377723</v>
      </c>
    </row>
    <row r="138" spans="2:14" outlineLevel="1">
      <c r="B138" s="14" t="s">
        <v>130</v>
      </c>
      <c r="C138" s="14"/>
      <c r="D138" s="14"/>
      <c r="E138" s="44">
        <f>E135+E136-E137</f>
        <v>25516</v>
      </c>
      <c r="F138" s="44">
        <f t="shared" ref="F138:N138" si="102">F135+F136-F137</f>
        <v>29003</v>
      </c>
      <c r="G138" s="44">
        <f t="shared" si="102"/>
        <v>33093</v>
      </c>
      <c r="H138" s="44">
        <f t="shared" si="102"/>
        <v>36174</v>
      </c>
      <c r="I138" s="44">
        <f t="shared" si="102"/>
        <v>43119</v>
      </c>
      <c r="J138" s="58">
        <f t="shared" si="102"/>
        <v>49955.454049315071</v>
      </c>
      <c r="K138" s="44">
        <f t="shared" si="102"/>
        <v>54631.454972054788</v>
      </c>
      <c r="L138" s="44">
        <f t="shared" si="102"/>
        <v>61100.566442260249</v>
      </c>
      <c r="M138" s="44">
        <f t="shared" si="102"/>
        <v>71818.110565561627</v>
      </c>
      <c r="N138" s="44">
        <f t="shared" si="102"/>
        <v>86161.483211409184</v>
      </c>
    </row>
    <row r="139" spans="2:14" outlineLevel="1">
      <c r="B139" s="5" t="s">
        <v>131</v>
      </c>
      <c r="E139" s="10">
        <f>E138-D138</f>
        <v>25516</v>
      </c>
      <c r="F139" s="10">
        <f t="shared" ref="F139:N139" si="103">F138-E138</f>
        <v>3487</v>
      </c>
      <c r="G139" s="10">
        <f t="shared" si="103"/>
        <v>4090</v>
      </c>
      <c r="H139" s="10">
        <f t="shared" si="103"/>
        <v>3081</v>
      </c>
      <c r="I139" s="10">
        <f t="shared" si="103"/>
        <v>6945</v>
      </c>
      <c r="J139" s="55">
        <f t="shared" si="103"/>
        <v>6836.4540493150707</v>
      </c>
      <c r="K139" s="10">
        <f t="shared" si="103"/>
        <v>4676.0009227397168</v>
      </c>
      <c r="L139" s="10">
        <f t="shared" si="103"/>
        <v>6469.111470205462</v>
      </c>
      <c r="M139" s="10">
        <f t="shared" si="103"/>
        <v>10717.544123301377</v>
      </c>
      <c r="N139" s="10">
        <f t="shared" si="103"/>
        <v>14343.372645847558</v>
      </c>
    </row>
    <row r="140" spans="2:14" outlineLevel="1">
      <c r="J140" s="47"/>
    </row>
    <row r="141" spans="2:14" outlineLevel="1">
      <c r="B141" s="5" t="s">
        <v>132</v>
      </c>
      <c r="E141" s="38">
        <v>46796</v>
      </c>
      <c r="F141" s="38">
        <f>E144</f>
        <v>55732</v>
      </c>
      <c r="G141" s="38">
        <f t="shared" ref="G141:N141" si="104">F144</f>
        <v>65158</v>
      </c>
      <c r="H141" s="38">
        <f t="shared" si="104"/>
        <v>79404</v>
      </c>
      <c r="I141" s="38">
        <f t="shared" si="104"/>
        <v>101594</v>
      </c>
      <c r="J141" s="54">
        <f t="shared" si="104"/>
        <v>131992</v>
      </c>
      <c r="K141" s="38">
        <f t="shared" si="104"/>
        <v>216913.52</v>
      </c>
      <c r="L141" s="38">
        <f t="shared" si="104"/>
        <v>323530.81599999999</v>
      </c>
      <c r="M141" s="38">
        <f t="shared" si="104"/>
        <v>387501.07423999999</v>
      </c>
      <c r="N141" s="38">
        <f t="shared" si="104"/>
        <v>406750.79493759997</v>
      </c>
    </row>
    <row r="142" spans="2:14" outlineLevel="1">
      <c r="B142" s="5" t="s">
        <v>133</v>
      </c>
      <c r="E142" s="10">
        <f>-E118</f>
        <v>20622</v>
      </c>
      <c r="F142" s="10">
        <f t="shared" ref="F142:N142" si="105">-F118</f>
        <v>23886</v>
      </c>
      <c r="G142" s="10">
        <f t="shared" si="105"/>
        <v>28107</v>
      </c>
      <c r="H142" s="10">
        <f t="shared" si="105"/>
        <v>44477</v>
      </c>
      <c r="I142" s="10">
        <f t="shared" si="105"/>
        <v>64551</v>
      </c>
      <c r="J142" s="55">
        <f t="shared" si="105"/>
        <v>110000</v>
      </c>
      <c r="K142" s="10">
        <f t="shared" si="105"/>
        <v>150000</v>
      </c>
      <c r="L142" s="10">
        <f t="shared" si="105"/>
        <v>140000</v>
      </c>
      <c r="M142" s="10">
        <f t="shared" si="105"/>
        <v>120000</v>
      </c>
      <c r="N142" s="10">
        <f t="shared" si="105"/>
        <v>130000</v>
      </c>
    </row>
    <row r="143" spans="2:14" outlineLevel="1">
      <c r="B143" s="5" t="s">
        <v>134</v>
      </c>
      <c r="E143" s="10">
        <f>E93</f>
        <v>11686</v>
      </c>
      <c r="F143" s="10">
        <f t="shared" ref="F143:I143" si="106">F93</f>
        <v>14460</v>
      </c>
      <c r="G143" s="10">
        <f t="shared" si="106"/>
        <v>13861</v>
      </c>
      <c r="H143" s="10">
        <f t="shared" si="106"/>
        <v>22287</v>
      </c>
      <c r="I143" s="10">
        <f t="shared" si="106"/>
        <v>34153</v>
      </c>
      <c r="J143" s="55">
        <f>J141*J19</f>
        <v>25078.48</v>
      </c>
      <c r="K143" s="10">
        <f t="shared" ref="K143:N143" si="107">K141*K19</f>
        <v>43382.703999999998</v>
      </c>
      <c r="L143" s="10">
        <f t="shared" si="107"/>
        <v>76029.74175999999</v>
      </c>
      <c r="M143" s="10">
        <f t="shared" si="107"/>
        <v>100750.2793024</v>
      </c>
      <c r="N143" s="10">
        <f t="shared" si="107"/>
        <v>109822.71463315201</v>
      </c>
    </row>
    <row r="144" spans="2:14" outlineLevel="1">
      <c r="B144" s="14" t="s">
        <v>135</v>
      </c>
      <c r="C144" s="14"/>
      <c r="D144" s="14"/>
      <c r="E144" s="44">
        <f>E141+E142-E143</f>
        <v>55732</v>
      </c>
      <c r="F144" s="44">
        <f t="shared" ref="F144:N144" si="108">F141+F142-F143</f>
        <v>65158</v>
      </c>
      <c r="G144" s="44">
        <f t="shared" si="108"/>
        <v>79404</v>
      </c>
      <c r="H144" s="44">
        <f t="shared" si="108"/>
        <v>101594</v>
      </c>
      <c r="I144" s="44">
        <f t="shared" si="108"/>
        <v>131992</v>
      </c>
      <c r="J144" s="58">
        <f t="shared" si="108"/>
        <v>216913.52</v>
      </c>
      <c r="K144" s="44">
        <f t="shared" si="108"/>
        <v>323530.81599999999</v>
      </c>
      <c r="L144" s="44">
        <f t="shared" si="108"/>
        <v>387501.07423999999</v>
      </c>
      <c r="M144" s="44">
        <f t="shared" si="108"/>
        <v>406750.79493759997</v>
      </c>
      <c r="N144" s="44">
        <f t="shared" si="108"/>
        <v>426928.08030444791</v>
      </c>
    </row>
    <row r="145" spans="2:14" outlineLevel="1">
      <c r="J145" s="47"/>
    </row>
    <row r="146" spans="2:14" outlineLevel="1">
      <c r="B146" s="17" t="s">
        <v>136</v>
      </c>
      <c r="F146" s="10">
        <f>F147+F148</f>
        <v>58146</v>
      </c>
      <c r="J146" s="47"/>
    </row>
    <row r="147" spans="2:14" outlineLevel="1">
      <c r="B147" s="5" t="s">
        <v>137</v>
      </c>
      <c r="E147" s="5">
        <v>59578</v>
      </c>
      <c r="F147" s="10">
        <f>50074</f>
        <v>50074</v>
      </c>
      <c r="G147" s="38">
        <v>47032</v>
      </c>
      <c r="H147" s="38">
        <v>41990</v>
      </c>
      <c r="I147" s="38">
        <v>42688</v>
      </c>
      <c r="J147" s="54">
        <v>40152</v>
      </c>
      <c r="K147" s="38">
        <f>J153-J148</f>
        <v>45152</v>
      </c>
      <c r="L147" s="38">
        <f t="shared" ref="L147:N147" si="109">K153-K148</f>
        <v>56151</v>
      </c>
      <c r="M147" s="38">
        <f t="shared" si="109"/>
        <v>48151</v>
      </c>
      <c r="N147" s="38">
        <f t="shared" si="109"/>
        <v>35151</v>
      </c>
    </row>
    <row r="148" spans="2:14" outlineLevel="1">
      <c r="B148" s="5" t="s">
        <v>138</v>
      </c>
      <c r="E148" s="5">
        <v>2749</v>
      </c>
      <c r="F148" s="10">
        <f>8072</f>
        <v>8072</v>
      </c>
      <c r="G148" s="38">
        <v>2749</v>
      </c>
      <c r="H148" s="38">
        <v>5247</v>
      </c>
      <c r="I148" s="38">
        <v>2249</v>
      </c>
      <c r="J148" s="54">
        <v>2999</v>
      </c>
      <c r="K148" s="38">
        <f>K151</f>
        <v>2000</v>
      </c>
      <c r="L148" s="38">
        <f t="shared" ref="L148:N148" si="110">L151</f>
        <v>5000</v>
      </c>
      <c r="M148" s="38">
        <f t="shared" si="110"/>
        <v>9000</v>
      </c>
      <c r="N148" s="38">
        <f t="shared" si="110"/>
        <v>2000</v>
      </c>
    </row>
    <row r="149" spans="2:14" outlineLevel="1">
      <c r="B149" s="14" t="s">
        <v>139</v>
      </c>
      <c r="C149" s="14"/>
      <c r="D149" s="14"/>
      <c r="E149" s="14">
        <f>E147+E148</f>
        <v>62327</v>
      </c>
      <c r="F149" s="14">
        <f t="shared" ref="F149:J149" si="111">F147+F148</f>
        <v>58146</v>
      </c>
      <c r="G149" s="225">
        <f t="shared" si="111"/>
        <v>49781</v>
      </c>
      <c r="H149" s="225">
        <f t="shared" si="111"/>
        <v>47237</v>
      </c>
      <c r="I149" s="225">
        <f t="shared" si="111"/>
        <v>44937</v>
      </c>
      <c r="J149" s="226">
        <f t="shared" si="111"/>
        <v>43151</v>
      </c>
      <c r="K149" s="225">
        <f>J153</f>
        <v>48151</v>
      </c>
      <c r="L149" s="225">
        <f t="shared" ref="L149:N149" si="112">K153</f>
        <v>58151</v>
      </c>
      <c r="M149" s="225">
        <f t="shared" si="112"/>
        <v>53151</v>
      </c>
      <c r="N149" s="225">
        <f t="shared" si="112"/>
        <v>44151</v>
      </c>
    </row>
    <row r="150" spans="2:14" outlineLevel="1">
      <c r="B150" s="5" t="s">
        <v>140</v>
      </c>
      <c r="E150" s="10">
        <f>E110</f>
        <v>0</v>
      </c>
      <c r="F150" s="10">
        <f t="shared" ref="F150:I150" si="113">F110</f>
        <v>0</v>
      </c>
      <c r="G150" s="10">
        <f t="shared" si="113"/>
        <v>0</v>
      </c>
      <c r="H150" s="10">
        <f t="shared" si="113"/>
        <v>24395</v>
      </c>
      <c r="I150" s="10">
        <f t="shared" si="113"/>
        <v>0</v>
      </c>
      <c r="J150" s="54">
        <v>15000</v>
      </c>
      <c r="K150" s="38">
        <v>12000</v>
      </c>
      <c r="L150" s="36">
        <v>0</v>
      </c>
      <c r="M150" s="36">
        <v>0</v>
      </c>
      <c r="N150" s="38">
        <v>13000</v>
      </c>
    </row>
    <row r="151" spans="2:14" outlineLevel="1">
      <c r="B151" s="5" t="s">
        <v>141</v>
      </c>
      <c r="E151" s="10">
        <f>-E111</f>
        <v>3750</v>
      </c>
      <c r="F151" s="10">
        <f t="shared" ref="F151:I151" si="114">-F111</f>
        <v>9023</v>
      </c>
      <c r="G151" s="10">
        <f t="shared" si="114"/>
        <v>2750</v>
      </c>
      <c r="H151" s="10">
        <f t="shared" si="114"/>
        <v>29070</v>
      </c>
      <c r="I151" s="10">
        <f t="shared" si="114"/>
        <v>3216</v>
      </c>
      <c r="J151" s="54">
        <v>10000</v>
      </c>
      <c r="K151" s="38">
        <v>2000</v>
      </c>
      <c r="L151" s="38">
        <v>5000</v>
      </c>
      <c r="M151" s="38">
        <v>9000</v>
      </c>
      <c r="N151" s="38">
        <v>2000</v>
      </c>
    </row>
    <row r="152" spans="2:14" outlineLevel="1">
      <c r="B152" s="5" t="s">
        <v>142</v>
      </c>
      <c r="E152" s="10">
        <f>F149-E149-E150+E151</f>
        <v>-431</v>
      </c>
      <c r="F152" s="10">
        <f t="shared" ref="F152:I152" si="115">G149-F149-F150+F151</f>
        <v>658</v>
      </c>
      <c r="G152" s="10">
        <f t="shared" si="115"/>
        <v>206</v>
      </c>
      <c r="H152" s="10">
        <f t="shared" si="115"/>
        <v>2375</v>
      </c>
      <c r="I152" s="10">
        <f t="shared" si="115"/>
        <v>1430</v>
      </c>
      <c r="J152" s="55">
        <v>0</v>
      </c>
      <c r="K152" s="10">
        <v>0</v>
      </c>
      <c r="L152" s="10">
        <v>0</v>
      </c>
      <c r="M152" s="10">
        <v>0</v>
      </c>
      <c r="N152" s="10">
        <v>0</v>
      </c>
    </row>
    <row r="153" spans="2:14" outlineLevel="1">
      <c r="B153" s="14" t="s">
        <v>143</v>
      </c>
      <c r="C153" s="14"/>
      <c r="D153" s="14"/>
      <c r="E153" s="44">
        <f>E149+E150-E151+E152</f>
        <v>58146</v>
      </c>
      <c r="F153" s="44">
        <f t="shared" ref="F153:N153" si="116">F149+F150-F151+F152</f>
        <v>49781</v>
      </c>
      <c r="G153" s="44">
        <f t="shared" si="116"/>
        <v>47237</v>
      </c>
      <c r="H153" s="44">
        <f t="shared" si="116"/>
        <v>44937</v>
      </c>
      <c r="I153" s="44">
        <f t="shared" si="116"/>
        <v>43151</v>
      </c>
      <c r="J153" s="58">
        <f t="shared" si="116"/>
        <v>48151</v>
      </c>
      <c r="K153" s="44">
        <f t="shared" si="116"/>
        <v>58151</v>
      </c>
      <c r="L153" s="44">
        <f t="shared" si="116"/>
        <v>53151</v>
      </c>
      <c r="M153" s="44">
        <f t="shared" si="116"/>
        <v>44151</v>
      </c>
      <c r="N153" s="44">
        <f t="shared" si="116"/>
        <v>55151</v>
      </c>
    </row>
    <row r="154" spans="2:14" outlineLevel="1">
      <c r="B154" s="5" t="s">
        <v>144</v>
      </c>
      <c r="E154" s="10">
        <v>2346</v>
      </c>
      <c r="F154" s="10">
        <v>2063</v>
      </c>
      <c r="G154" s="10">
        <v>1968</v>
      </c>
      <c r="H154" s="10">
        <v>2935</v>
      </c>
      <c r="I154" s="10">
        <v>2385</v>
      </c>
      <c r="J154" s="54">
        <f>J153*J16</f>
        <v>2407.5500000000002</v>
      </c>
      <c r="K154" s="38">
        <f t="shared" ref="K154:N154" si="117">K153*K16</f>
        <v>2907.55</v>
      </c>
      <c r="L154" s="38">
        <f t="shared" si="117"/>
        <v>2657.55</v>
      </c>
      <c r="M154" s="38">
        <f t="shared" si="117"/>
        <v>2207.5500000000002</v>
      </c>
      <c r="N154" s="38">
        <f t="shared" si="117"/>
        <v>2757.55</v>
      </c>
    </row>
  </sheetData>
  <mergeCells count="2">
    <mergeCell ref="B3:I3"/>
    <mergeCell ref="B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101"/>
  <sheetViews>
    <sheetView showGridLines="0" workbookViewId="0">
      <selection activeCell="I73" sqref="I73"/>
    </sheetView>
  </sheetViews>
  <sheetFormatPr baseColWidth="10" defaultColWidth="8.83203125" defaultRowHeight="14"/>
  <cols>
    <col min="1" max="1" width="4.83203125" style="5" customWidth="1"/>
    <col min="2" max="2" width="44" style="5" customWidth="1"/>
    <col min="3" max="12" width="12" style="5" customWidth="1"/>
    <col min="13" max="16384" width="8.83203125" style="5"/>
  </cols>
  <sheetData>
    <row r="2" spans="2:18" ht="28">
      <c r="B2" s="169" t="s">
        <v>145</v>
      </c>
      <c r="C2" s="169"/>
      <c r="D2" s="169"/>
      <c r="E2" s="169"/>
      <c r="F2" s="169"/>
      <c r="G2" s="169"/>
      <c r="H2" s="169"/>
      <c r="I2" s="169"/>
      <c r="J2" s="169"/>
      <c r="K2" s="169"/>
      <c r="L2" s="169"/>
    </row>
    <row r="3" spans="2:18">
      <c r="B3" s="64" t="s">
        <v>146</v>
      </c>
      <c r="C3" s="64"/>
      <c r="D3" s="64"/>
      <c r="E3" s="64"/>
      <c r="F3" s="64"/>
      <c r="G3" s="64"/>
      <c r="H3" s="64"/>
      <c r="I3" s="64"/>
      <c r="J3" s="64"/>
      <c r="K3" s="64"/>
      <c r="L3" s="64"/>
    </row>
    <row r="5" spans="2:18">
      <c r="B5" s="170"/>
      <c r="C5" s="170" t="s">
        <v>22</v>
      </c>
      <c r="D5" s="170" t="s">
        <v>23</v>
      </c>
      <c r="E5" s="170" t="s">
        <v>24</v>
      </c>
      <c r="F5" s="170" t="s">
        <v>25</v>
      </c>
      <c r="G5" s="170" t="s">
        <v>26</v>
      </c>
      <c r="H5" s="171" t="s">
        <v>228</v>
      </c>
      <c r="I5" s="171" t="s">
        <v>229</v>
      </c>
      <c r="J5" s="171" t="s">
        <v>230</v>
      </c>
      <c r="K5" s="171" t="s">
        <v>231</v>
      </c>
      <c r="L5" s="171" t="s">
        <v>232</v>
      </c>
    </row>
    <row r="6" spans="2:18">
      <c r="C6" s="10"/>
      <c r="D6" s="10"/>
      <c r="E6" s="10"/>
      <c r="F6" s="10"/>
      <c r="G6" s="10"/>
      <c r="H6" s="134"/>
      <c r="I6" s="134"/>
      <c r="J6" s="134"/>
      <c r="K6" s="134"/>
      <c r="L6" s="134"/>
    </row>
    <row r="7" spans="2:18" ht="18">
      <c r="B7" s="219" t="s">
        <v>32</v>
      </c>
      <c r="C7" s="219"/>
      <c r="D7" s="219"/>
      <c r="E7" s="219"/>
      <c r="F7" s="219"/>
      <c r="G7" s="219"/>
      <c r="H7" s="219"/>
      <c r="I7" s="219"/>
      <c r="J7" s="219"/>
      <c r="K7" s="219"/>
      <c r="L7" s="219"/>
    </row>
    <row r="8" spans="2:18">
      <c r="B8" s="5" t="s">
        <v>147</v>
      </c>
      <c r="C8" s="46">
        <f>'Full Historical Statements'!E33</f>
        <v>168088</v>
      </c>
      <c r="D8" s="46">
        <f>'Full Historical Statements'!F33</f>
        <v>198270</v>
      </c>
      <c r="E8" s="46">
        <f>'Full Historical Statements'!G33</f>
        <v>211915</v>
      </c>
      <c r="F8" s="46">
        <f>'Full Historical Statements'!H33</f>
        <v>245122</v>
      </c>
      <c r="G8" s="46">
        <f>'Full Historical Statements'!I33</f>
        <v>281724</v>
      </c>
      <c r="H8" s="135">
        <f>'Full Historical Statements'!J33</f>
        <v>323982.59999999998</v>
      </c>
      <c r="I8" s="135">
        <f>'Full Historical Statements'!K33</f>
        <v>372579.98999999993</v>
      </c>
      <c r="J8" s="135">
        <f>'Full Historical Statements'!L33</f>
        <v>428466.98849999986</v>
      </c>
      <c r="K8" s="135">
        <f>'Full Historical Statements'!M33</f>
        <v>492737.03677499981</v>
      </c>
      <c r="L8" s="135">
        <f>'Full Historical Statements'!N33</f>
        <v>566647.59229124978</v>
      </c>
    </row>
    <row r="9" spans="2:18">
      <c r="B9" s="157" t="s">
        <v>3</v>
      </c>
      <c r="C9" s="209"/>
      <c r="D9" s="214">
        <f>IFERROR(D8/C8-1,"")</f>
        <v>0.17956070629670173</v>
      </c>
      <c r="E9" s="214">
        <f>IFERROR(E8/D8-1,"")</f>
        <v>6.8820295556564215E-2</v>
      </c>
      <c r="F9" s="214">
        <f>IFERROR(F8/E8-1,"")</f>
        <v>0.1566996201307127</v>
      </c>
      <c r="G9" s="214">
        <f>IFERROR(G8/F8-1,"")</f>
        <v>0.14932156232406713</v>
      </c>
      <c r="H9" s="215">
        <f>'Full Historical Statements'!J6</f>
        <v>0.15</v>
      </c>
      <c r="I9" s="215">
        <f>'Full Historical Statements'!K6</f>
        <v>0.15</v>
      </c>
      <c r="J9" s="215">
        <f>'Full Historical Statements'!L6</f>
        <v>0.15</v>
      </c>
      <c r="K9" s="215">
        <f>'Full Historical Statements'!M6</f>
        <v>0.15</v>
      </c>
      <c r="L9" s="215">
        <f>'Full Historical Statements'!N6</f>
        <v>0.15</v>
      </c>
    </row>
    <row r="10" spans="2:18">
      <c r="B10" s="5" t="s">
        <v>322</v>
      </c>
      <c r="C10" s="46">
        <f>'Full Historical Statements'!E36</f>
        <v>52232</v>
      </c>
      <c r="D10" s="46">
        <f>'Full Historical Statements'!F36</f>
        <v>62650</v>
      </c>
      <c r="E10" s="46">
        <f>'Full Historical Statements'!G36</f>
        <v>65863</v>
      </c>
      <c r="F10" s="46">
        <f>'Full Historical Statements'!H36</f>
        <v>74114</v>
      </c>
      <c r="G10" s="46">
        <f>'Full Historical Statements'!I36</f>
        <v>87831</v>
      </c>
      <c r="H10" s="135">
        <f>'Full Historical Statements'!J36</f>
        <v>100434.60599999999</v>
      </c>
      <c r="I10" s="135">
        <f>'Full Historical Statements'!K36</f>
        <v>119225.59679999998</v>
      </c>
      <c r="J10" s="135">
        <f>'Full Historical Statements'!L36</f>
        <v>141394.10620499996</v>
      </c>
      <c r="K10" s="135">
        <f>'Full Historical Statements'!M36</f>
        <v>157675.85176799993</v>
      </c>
      <c r="L10" s="135">
        <f>'Full Historical Statements'!N36</f>
        <v>169994.27768737494</v>
      </c>
      <c r="N10" s="43"/>
      <c r="O10" s="43"/>
      <c r="P10" s="43"/>
      <c r="Q10" s="43"/>
      <c r="R10" s="43"/>
    </row>
    <row r="11" spans="2:18">
      <c r="B11" s="17" t="s">
        <v>245</v>
      </c>
      <c r="C11" s="210">
        <f>'Full Historical Statements'!E37</f>
        <v>115856</v>
      </c>
      <c r="D11" s="210">
        <f>'Full Historical Statements'!F37</f>
        <v>135620</v>
      </c>
      <c r="E11" s="210">
        <f>'Full Historical Statements'!G37</f>
        <v>146052</v>
      </c>
      <c r="F11" s="210">
        <f>'Full Historical Statements'!H37</f>
        <v>171008</v>
      </c>
      <c r="G11" s="210">
        <f>'Full Historical Statements'!I37</f>
        <v>193893</v>
      </c>
      <c r="H11" s="136">
        <f>'Full Historical Statements'!J37</f>
        <v>223547.99400000001</v>
      </c>
      <c r="I11" s="136">
        <f>'Full Historical Statements'!K37</f>
        <v>253354.39319999993</v>
      </c>
      <c r="J11" s="136">
        <f>'Full Historical Statements'!L37</f>
        <v>287072.8822949999</v>
      </c>
      <c r="K11" s="136">
        <f>'Full Historical Statements'!M37</f>
        <v>335061.18500699988</v>
      </c>
      <c r="L11" s="136">
        <f>'Full Historical Statements'!N37</f>
        <v>396653.31460387481</v>
      </c>
    </row>
    <row r="12" spans="2:18">
      <c r="B12" s="156" t="s">
        <v>323</v>
      </c>
      <c r="C12" s="214">
        <f>C11/C8</f>
        <v>0.68925800771024703</v>
      </c>
      <c r="D12" s="214">
        <f>D11/D8</f>
        <v>0.68401674484289099</v>
      </c>
      <c r="E12" s="214">
        <f>E11/E8</f>
        <v>0.68920085883491022</v>
      </c>
      <c r="F12" s="214">
        <f>F11/F8</f>
        <v>0.69764443827971379</v>
      </c>
      <c r="G12" s="214">
        <f>G11/G8</f>
        <v>0.68823742386165188</v>
      </c>
      <c r="H12" s="215">
        <f>'Full Historical Statements'!J37/'Full Historical Statements'!J33</f>
        <v>0.69000000000000006</v>
      </c>
      <c r="I12" s="215">
        <f>'Full Historical Statements'!K37/'Full Historical Statements'!K33</f>
        <v>0.67999999999999994</v>
      </c>
      <c r="J12" s="215">
        <f>'Full Historical Statements'!L37/'Full Historical Statements'!L33</f>
        <v>0.67</v>
      </c>
      <c r="K12" s="215">
        <f>'Full Historical Statements'!M37/'Full Historical Statements'!M33</f>
        <v>0.68</v>
      </c>
      <c r="L12" s="215">
        <f>'Full Historical Statements'!N37/'Full Historical Statements'!N33</f>
        <v>0.7</v>
      </c>
    </row>
    <row r="13" spans="2:18">
      <c r="B13" s="5" t="s">
        <v>148</v>
      </c>
      <c r="C13" s="46">
        <f>'Full Historical Statements'!E38</f>
        <v>20716</v>
      </c>
      <c r="D13" s="46">
        <f>'Full Historical Statements'!F38</f>
        <v>24512</v>
      </c>
      <c r="E13" s="46">
        <f>'Full Historical Statements'!G38</f>
        <v>27195</v>
      </c>
      <c r="F13" s="46">
        <f>'Full Historical Statements'!H38</f>
        <v>29510</v>
      </c>
      <c r="G13" s="46">
        <f>'Full Historical Statements'!I38</f>
        <v>32488</v>
      </c>
      <c r="H13" s="135">
        <f>'Full Historical Statements'!J38</f>
        <v>35638.085999999996</v>
      </c>
      <c r="I13" s="135">
        <f>'Full Historical Statements'!K38</f>
        <v>39866.058929999992</v>
      </c>
      <c r="J13" s="135">
        <f>'Full Historical Statements'!L38</f>
        <v>42846.698849999986</v>
      </c>
      <c r="K13" s="135">
        <f>'Full Historical Statements'!M38</f>
        <v>49273.703677499987</v>
      </c>
      <c r="L13" s="135">
        <f>'Full Historical Statements'!N38</f>
        <v>56664.759229124982</v>
      </c>
    </row>
    <row r="14" spans="2:18">
      <c r="B14" s="208" t="s">
        <v>324</v>
      </c>
      <c r="C14" s="216">
        <f>C13/C8</f>
        <v>0.12324496692208843</v>
      </c>
      <c r="D14" s="216">
        <f>D13/D8</f>
        <v>0.12362939426035205</v>
      </c>
      <c r="E14" s="216">
        <f>E13/E8</f>
        <v>0.12832975485454073</v>
      </c>
      <c r="F14" s="216">
        <f>F13/F8</f>
        <v>0.12038903076835208</v>
      </c>
      <c r="G14" s="216">
        <f>G13/G8</f>
        <v>0.11531853871164686</v>
      </c>
      <c r="H14" s="217">
        <f>'Full Historical Statements'!J38/'Full Historical Statements'!J33</f>
        <v>0.11</v>
      </c>
      <c r="I14" s="217">
        <f>'Full Historical Statements'!K38/'Full Historical Statements'!K33</f>
        <v>0.107</v>
      </c>
      <c r="J14" s="217">
        <f>'Full Historical Statements'!L38/'Full Historical Statements'!L33</f>
        <v>0.1</v>
      </c>
      <c r="K14" s="217">
        <f>'Full Historical Statements'!M38/'Full Historical Statements'!M33</f>
        <v>0.1</v>
      </c>
      <c r="L14" s="218">
        <f>'Full Historical Statements'!N38/'Full Historical Statements'!N33</f>
        <v>0.1</v>
      </c>
    </row>
    <row r="15" spans="2:18">
      <c r="B15" s="5" t="s">
        <v>326</v>
      </c>
      <c r="C15" s="46">
        <f>'Full Historical Statements'!E39</f>
        <v>20117</v>
      </c>
      <c r="D15" s="46">
        <f>'Full Historical Statements'!F39</f>
        <v>21825</v>
      </c>
      <c r="E15" s="46">
        <f>'Full Historical Statements'!G39</f>
        <v>22759</v>
      </c>
      <c r="F15" s="46">
        <f>'Full Historical Statements'!H39</f>
        <v>24456</v>
      </c>
      <c r="G15" s="46">
        <f>'Full Historical Statements'!I39</f>
        <v>25654</v>
      </c>
      <c r="H15" s="135">
        <f>'Full Historical Statements'!J39</f>
        <v>27538.521000000001</v>
      </c>
      <c r="I15" s="135">
        <f>'Full Historical Statements'!K39</f>
        <v>29806.399199999996</v>
      </c>
      <c r="J15" s="135">
        <f>'Full Historical Statements'!L39</f>
        <v>32135.02413749999</v>
      </c>
      <c r="K15" s="135">
        <f>'Full Historical Statements'!M39</f>
        <v>34491.592574249989</v>
      </c>
      <c r="L15" s="135">
        <f>'Full Historical Statements'!N39</f>
        <v>39665.33146038749</v>
      </c>
    </row>
    <row r="16" spans="2:18">
      <c r="B16" s="157" t="s">
        <v>325</v>
      </c>
      <c r="C16" s="214">
        <f>C15/C8</f>
        <v>0.1196813573842273</v>
      </c>
      <c r="D16" s="214">
        <f>D15/D8</f>
        <v>0.11007716749886519</v>
      </c>
      <c r="E16" s="214">
        <f>E15/E8</f>
        <v>0.10739683363612769</v>
      </c>
      <c r="F16" s="214">
        <f>F15/F8</f>
        <v>9.9770726413785787E-2</v>
      </c>
      <c r="G16" s="214">
        <f>G15/G8</f>
        <v>9.1060754497309424E-2</v>
      </c>
      <c r="H16" s="215">
        <f>'Full Historical Statements'!J39/'Full Historical Statements'!J33</f>
        <v>8.5000000000000006E-2</v>
      </c>
      <c r="I16" s="215">
        <f>'Full Historical Statements'!K39/'Full Historical Statements'!K33</f>
        <v>0.08</v>
      </c>
      <c r="J16" s="215">
        <f>'Full Historical Statements'!L39/'Full Historical Statements'!L33</f>
        <v>7.4999999999999997E-2</v>
      </c>
      <c r="K16" s="215">
        <f>'Full Historical Statements'!M39/'Full Historical Statements'!M33</f>
        <v>7.0000000000000007E-2</v>
      </c>
      <c r="L16" s="215">
        <f>'Full Historical Statements'!N39/'Full Historical Statements'!N33</f>
        <v>7.0000000000000007E-2</v>
      </c>
    </row>
    <row r="17" spans="2:12">
      <c r="B17" s="5" t="s">
        <v>149</v>
      </c>
      <c r="C17" s="46">
        <f>'Full Historical Statements'!E40</f>
        <v>5107</v>
      </c>
      <c r="D17" s="46">
        <f>'Full Historical Statements'!F40</f>
        <v>5900</v>
      </c>
      <c r="E17" s="46">
        <f>'Full Historical Statements'!G40</f>
        <v>7575</v>
      </c>
      <c r="F17" s="46">
        <f>'Full Historical Statements'!H40</f>
        <v>7609</v>
      </c>
      <c r="G17" s="46">
        <f>'Full Historical Statements'!I40</f>
        <v>7223</v>
      </c>
      <c r="H17" s="135">
        <f>'Full Historical Statements'!J40</f>
        <v>9719.4779999999992</v>
      </c>
      <c r="I17" s="135">
        <f>'Full Historical Statements'!K40</f>
        <v>11177.399699999998</v>
      </c>
      <c r="J17" s="135">
        <f>'Full Historical Statements'!L40</f>
        <v>12854.009654999996</v>
      </c>
      <c r="K17" s="135">
        <f>'Full Historical Statements'!M40</f>
        <v>14782.111103249994</v>
      </c>
      <c r="L17" s="135">
        <f>'Full Historical Statements'!N40</f>
        <v>16999.427768737492</v>
      </c>
    </row>
    <row r="18" spans="2:12">
      <c r="B18" s="157" t="s">
        <v>327</v>
      </c>
      <c r="C18" s="214">
        <f>C17/C8</f>
        <v>3.0382894674218265E-2</v>
      </c>
      <c r="D18" s="214">
        <f>D17/D8</f>
        <v>2.9757401523175468E-2</v>
      </c>
      <c r="E18" s="214">
        <f>E17/E8</f>
        <v>3.5745463983200811E-2</v>
      </c>
      <c r="F18" s="214">
        <f>F17/F8</f>
        <v>3.1041685364838735E-2</v>
      </c>
      <c r="G18" s="214">
        <f>G17/G8</f>
        <v>2.5638568244097059E-2</v>
      </c>
      <c r="H18" s="215">
        <f>'Full Historical Statements'!J40/'Full Historical Statements'!J33</f>
        <v>0.03</v>
      </c>
      <c r="I18" s="215">
        <f>'Full Historical Statements'!K40/'Full Historical Statements'!K33</f>
        <v>0.03</v>
      </c>
      <c r="J18" s="215">
        <f>'Full Historical Statements'!L40/'Full Historical Statements'!L33</f>
        <v>3.0000000000000002E-2</v>
      </c>
      <c r="K18" s="215">
        <f>'Full Historical Statements'!M40/'Full Historical Statements'!M33</f>
        <v>0.03</v>
      </c>
      <c r="L18" s="215">
        <f>'Full Historical Statements'!N40/'Full Historical Statements'!N33</f>
        <v>0.03</v>
      </c>
    </row>
    <row r="19" spans="2:12">
      <c r="B19" s="17" t="s">
        <v>43</v>
      </c>
      <c r="C19" s="210">
        <f>'Full Historical Statements'!E41</f>
        <v>69916</v>
      </c>
      <c r="D19" s="210">
        <f>'Full Historical Statements'!F41</f>
        <v>83383</v>
      </c>
      <c r="E19" s="210">
        <f>'Full Historical Statements'!G41</f>
        <v>88523</v>
      </c>
      <c r="F19" s="210">
        <f>'Full Historical Statements'!H41</f>
        <v>109433</v>
      </c>
      <c r="G19" s="210">
        <f>'Full Historical Statements'!I41</f>
        <v>128528</v>
      </c>
      <c r="H19" s="136">
        <f>'Full Historical Statements'!J41</f>
        <v>150651.90900000001</v>
      </c>
      <c r="I19" s="136">
        <f>'Full Historical Statements'!K41</f>
        <v>172504.53536999994</v>
      </c>
      <c r="J19" s="136">
        <f>'Full Historical Statements'!L41</f>
        <v>199237.14965249994</v>
      </c>
      <c r="K19" s="136">
        <f>'Full Historical Statements'!M41</f>
        <v>236513.7776519999</v>
      </c>
      <c r="L19" s="136">
        <f>'Full Historical Statements'!N41</f>
        <v>283323.79614562483</v>
      </c>
    </row>
    <row r="20" spans="2:12">
      <c r="B20" s="157" t="s">
        <v>328</v>
      </c>
      <c r="C20" s="214">
        <f>C19/C8</f>
        <v>0.41594878872971303</v>
      </c>
      <c r="D20" s="214">
        <f>D19/D8</f>
        <v>0.4205527815604983</v>
      </c>
      <c r="E20" s="214">
        <f>E19/E8</f>
        <v>0.41772880636104098</v>
      </c>
      <c r="F20" s="214">
        <f>F19/F8</f>
        <v>0.44644299573273716</v>
      </c>
      <c r="G20" s="214">
        <f>G19/G8</f>
        <v>0.45621956240859851</v>
      </c>
      <c r="H20" s="215">
        <f>'Full Historical Statements'!J41/'Full Historical Statements'!J33</f>
        <v>0.46500000000000008</v>
      </c>
      <c r="I20" s="215">
        <f>'Full Historical Statements'!K41/'Full Historical Statements'!K33</f>
        <v>0.46299999999999991</v>
      </c>
      <c r="J20" s="215">
        <f>'Full Historical Statements'!L41/'Full Historical Statements'!L33</f>
        <v>0.46500000000000002</v>
      </c>
      <c r="K20" s="215">
        <f>'Full Historical Statements'!M41/'Full Historical Statements'!M33</f>
        <v>0.48</v>
      </c>
      <c r="L20" s="215">
        <f>'Full Historical Statements'!N41/'Full Historical Statements'!N33</f>
        <v>0.49999999999999989</v>
      </c>
    </row>
    <row r="21" spans="2:12">
      <c r="B21" s="5" t="s">
        <v>44</v>
      </c>
      <c r="C21" s="46">
        <f>'Full Historical Statements'!E42</f>
        <v>1186</v>
      </c>
      <c r="D21" s="46">
        <f>'Full Historical Statements'!F42</f>
        <v>333</v>
      </c>
      <c r="E21" s="46">
        <f>'Full Historical Statements'!G42</f>
        <v>788</v>
      </c>
      <c r="F21" s="46">
        <f>'Full Historical Statements'!H42</f>
        <v>-1646</v>
      </c>
      <c r="G21" s="46">
        <f>'Full Historical Statements'!I42</f>
        <v>-4901</v>
      </c>
      <c r="H21" s="135">
        <f>'Full Historical Statements'!J42</f>
        <v>3013.0381800000005</v>
      </c>
      <c r="I21" s="135">
        <f>'Full Historical Statements'!K42</f>
        <v>3450.0907073999988</v>
      </c>
      <c r="J21" s="135">
        <f>'Full Historical Statements'!L42</f>
        <v>3984.7429930499989</v>
      </c>
      <c r="K21" s="135">
        <f>'Full Historical Statements'!M42</f>
        <v>4730.2755530399982</v>
      </c>
      <c r="L21" s="135">
        <f>'Full Historical Statements'!N42</f>
        <v>5666.4759229124966</v>
      </c>
    </row>
    <row r="22" spans="2:12">
      <c r="B22" s="5" t="s">
        <v>45</v>
      </c>
      <c r="C22" s="46">
        <f>'Full Historical Statements'!E43</f>
        <v>71102</v>
      </c>
      <c r="D22" s="46">
        <f>'Full Historical Statements'!F43</f>
        <v>83716</v>
      </c>
      <c r="E22" s="46">
        <f>'Full Historical Statements'!G43</f>
        <v>89311</v>
      </c>
      <c r="F22" s="46">
        <f>'Full Historical Statements'!H43</f>
        <v>107787</v>
      </c>
      <c r="G22" s="46">
        <f>'Full Historical Statements'!I43</f>
        <v>123627</v>
      </c>
      <c r="H22" s="135">
        <f>'Full Historical Statements'!J43</f>
        <v>153664.94718000002</v>
      </c>
      <c r="I22" s="135">
        <f>'Full Historical Statements'!K43</f>
        <v>175954.62607739994</v>
      </c>
      <c r="J22" s="135">
        <f>'Full Historical Statements'!L43</f>
        <v>203221.89264554993</v>
      </c>
      <c r="K22" s="135">
        <f>'Full Historical Statements'!M43</f>
        <v>241244.05320503991</v>
      </c>
      <c r="L22" s="135">
        <f>'Full Historical Statements'!N43</f>
        <v>288990.27206853731</v>
      </c>
    </row>
    <row r="23" spans="2:12">
      <c r="B23" s="5" t="s">
        <v>46</v>
      </c>
      <c r="C23" s="46">
        <f>'Full Historical Statements'!E44</f>
        <v>9831</v>
      </c>
      <c r="D23" s="46">
        <f>'Full Historical Statements'!F44</f>
        <v>10978</v>
      </c>
      <c r="E23" s="46">
        <f>'Full Historical Statements'!G44</f>
        <v>16950</v>
      </c>
      <c r="F23" s="46">
        <f>'Full Historical Statements'!H44</f>
        <v>19651</v>
      </c>
      <c r="G23" s="46">
        <f>'Full Historical Statements'!I44</f>
        <v>21795</v>
      </c>
      <c r="H23" s="135">
        <f>'Full Historical Statements'!J44</f>
        <v>28089.745337822776</v>
      </c>
      <c r="I23" s="135">
        <f>'Full Historical Statements'!K44</f>
        <v>31754.43511785084</v>
      </c>
      <c r="J23" s="135">
        <f>'Full Historical Statements'!L44</f>
        <v>36550.44274412909</v>
      </c>
      <c r="K23" s="135">
        <f>'Full Historical Statements'!M44</f>
        <v>43675.060977578862</v>
      </c>
      <c r="L23" s="135">
        <f>'Full Historical Statements'!N44</f>
        <v>52149.767141424883</v>
      </c>
    </row>
    <row r="24" spans="2:12">
      <c r="B24" s="157" t="s">
        <v>172</v>
      </c>
      <c r="C24" s="214">
        <f>C23/C22</f>
        <v>0.13826615285083402</v>
      </c>
      <c r="D24" s="214">
        <f>D23/D22</f>
        <v>0.13113383343685794</v>
      </c>
      <c r="E24" s="214">
        <f>E23/E22</f>
        <v>0.18978625253328257</v>
      </c>
      <c r="F24" s="214">
        <f>F23/F22</f>
        <v>0.18231326597827197</v>
      </c>
      <c r="G24" s="214">
        <f>G23/G22</f>
        <v>0.17629644009803683</v>
      </c>
      <c r="H24" s="215">
        <f>'Full Historical Statements'!J44/'Full Historical Statements'!J43</f>
        <v>0.18279865286986377</v>
      </c>
      <c r="I24" s="215">
        <f>'Full Historical Statements'!K44/'Full Historical Statements'!K43</f>
        <v>0.18046945298205752</v>
      </c>
      <c r="J24" s="215">
        <f>'Full Historical Statements'!L44/'Full Historical Statements'!L43</f>
        <v>0.17985484864998602</v>
      </c>
      <c r="K24" s="215">
        <f>'Full Historical Statements'!M44/'Full Historical Statements'!M43</f>
        <v>0.18104098483396908</v>
      </c>
      <c r="L24" s="215">
        <f>'Full Historical Statements'!N44/'Full Historical Statements'!N43</f>
        <v>0.18045509548867089</v>
      </c>
    </row>
    <row r="25" spans="2:12">
      <c r="B25" s="17" t="s">
        <v>47</v>
      </c>
      <c r="C25" s="210">
        <f>'Full Historical Statements'!E45</f>
        <v>61271</v>
      </c>
      <c r="D25" s="210">
        <f>'Full Historical Statements'!F45</f>
        <v>72738</v>
      </c>
      <c r="E25" s="210">
        <f>'Full Historical Statements'!G45</f>
        <v>72361</v>
      </c>
      <c r="F25" s="210">
        <f>'Full Historical Statements'!H45</f>
        <v>88136</v>
      </c>
      <c r="G25" s="210">
        <f>'Full Historical Statements'!I45</f>
        <v>101832</v>
      </c>
      <c r="H25" s="136">
        <f>'Full Historical Statements'!J45</f>
        <v>125575.20184217724</v>
      </c>
      <c r="I25" s="136">
        <f>'Full Historical Statements'!K45</f>
        <v>144200.1909595491</v>
      </c>
      <c r="J25" s="136">
        <f>'Full Historical Statements'!L45</f>
        <v>166671.44990142086</v>
      </c>
      <c r="K25" s="136">
        <f>'Full Historical Statements'!M45</f>
        <v>197568.99222746104</v>
      </c>
      <c r="L25" s="136">
        <f>'Full Historical Statements'!N45</f>
        <v>236840.50492711243</v>
      </c>
    </row>
    <row r="26" spans="2:12">
      <c r="B26" s="157" t="s">
        <v>329</v>
      </c>
      <c r="C26" s="214">
        <f>C25/C8</f>
        <v>0.36451739564989766</v>
      </c>
      <c r="D26" s="214">
        <f>D25/D8</f>
        <v>0.36686336813436221</v>
      </c>
      <c r="E26" s="214">
        <f>E25/E8</f>
        <v>0.34146237878394642</v>
      </c>
      <c r="F26" s="214">
        <f>F25/F8</f>
        <v>0.35955972944084985</v>
      </c>
      <c r="G26" s="214">
        <f>G25/G8</f>
        <v>0.36146015248967073</v>
      </c>
      <c r="H26" s="215">
        <f>'Full Historical Statements'!J45/'Full Historical Statements'!J33</f>
        <v>0.38759859894382365</v>
      </c>
      <c r="I26" s="215">
        <f>'Full Historical Statements'!K45/'Full Historical Statements'!K33</f>
        <v>0.38703149613469345</v>
      </c>
      <c r="J26" s="215">
        <f>'Full Historical Statements'!L45/'Full Historical Statements'!L33</f>
        <v>0.38899484528531164</v>
      </c>
      <c r="K26" s="215">
        <f>'Full Historical Statements'!M45/'Full Historical Statements'!M33</f>
        <v>0.40096233382528873</v>
      </c>
      <c r="L26" s="215">
        <f>'Full Historical Statements'!N45/'Full Historical Statements'!N33</f>
        <v>0.41796790130077771</v>
      </c>
    </row>
    <row r="27" spans="2:12">
      <c r="B27" s="5" t="s">
        <v>49</v>
      </c>
      <c r="C27" s="211">
        <f>'Full Historical Statements'!E47</f>
        <v>8.0500000000000007</v>
      </c>
      <c r="D27" s="211">
        <f>'Full Historical Statements'!F47</f>
        <v>9.65</v>
      </c>
      <c r="E27" s="211">
        <f>'Full Historical Statements'!G47</f>
        <v>9.68</v>
      </c>
      <c r="F27" s="211">
        <f>'Full Historical Statements'!H47</f>
        <v>11.8</v>
      </c>
      <c r="G27" s="211">
        <f>'Full Historical Statements'!I47</f>
        <v>13.64</v>
      </c>
      <c r="H27" s="137">
        <f>'Full Historical Statements'!J47</f>
        <v>0</v>
      </c>
      <c r="I27" s="137">
        <f>'Full Historical Statements'!K47</f>
        <v>0</v>
      </c>
      <c r="J27" s="137">
        <f>'Full Historical Statements'!L47</f>
        <v>0</v>
      </c>
      <c r="K27" s="137">
        <f>'Full Historical Statements'!M47</f>
        <v>0</v>
      </c>
      <c r="L27" s="137">
        <f>'Full Historical Statements'!N47</f>
        <v>0</v>
      </c>
    </row>
    <row r="28" spans="2:12">
      <c r="B28" s="5" t="s">
        <v>51</v>
      </c>
      <c r="C28" s="46">
        <f>'Full Historical Statements'!E49</f>
        <v>7608</v>
      </c>
      <c r="D28" s="46">
        <f>'Full Historical Statements'!F49</f>
        <v>7540</v>
      </c>
      <c r="E28" s="46">
        <f>'Full Historical Statements'!G49</f>
        <v>7472</v>
      </c>
      <c r="F28" s="46">
        <f>'Full Historical Statements'!H49</f>
        <v>7469</v>
      </c>
      <c r="G28" s="46">
        <f>'Full Historical Statements'!I49</f>
        <v>7465</v>
      </c>
      <c r="H28" s="135">
        <f>'Full Historical Statements'!J49</f>
        <v>0</v>
      </c>
      <c r="I28" s="135">
        <f>'Full Historical Statements'!K49</f>
        <v>0</v>
      </c>
      <c r="J28" s="135">
        <f>'Full Historical Statements'!L49</f>
        <v>0</v>
      </c>
      <c r="K28" s="135">
        <f>'Full Historical Statements'!M49</f>
        <v>0</v>
      </c>
      <c r="L28" s="135">
        <f>'Full Historical Statements'!N49</f>
        <v>0</v>
      </c>
    </row>
    <row r="29" spans="2:12">
      <c r="C29" s="10"/>
      <c r="D29" s="10"/>
      <c r="E29" s="10"/>
      <c r="F29" s="10"/>
      <c r="G29" s="10"/>
      <c r="H29" s="134"/>
      <c r="I29" s="134"/>
      <c r="J29" s="134"/>
      <c r="K29" s="134"/>
      <c r="L29" s="134"/>
    </row>
    <row r="30" spans="2:12">
      <c r="C30" s="10"/>
      <c r="D30" s="10"/>
      <c r="E30" s="10"/>
      <c r="F30" s="10"/>
      <c r="G30" s="10"/>
      <c r="H30" s="134"/>
      <c r="I30" s="134"/>
      <c r="J30" s="134"/>
      <c r="K30" s="134"/>
      <c r="L30" s="134"/>
    </row>
    <row r="31" spans="2:12" ht="18">
      <c r="B31" s="219" t="s">
        <v>52</v>
      </c>
      <c r="C31" s="220"/>
      <c r="D31" s="220"/>
      <c r="E31" s="220"/>
      <c r="F31" s="220"/>
      <c r="G31" s="220"/>
      <c r="H31" s="221"/>
      <c r="I31" s="221"/>
      <c r="J31" s="221"/>
      <c r="K31" s="221"/>
      <c r="L31" s="221"/>
    </row>
    <row r="32" spans="2:12">
      <c r="B32" s="5" t="s">
        <v>53</v>
      </c>
      <c r="C32" s="46">
        <f>'Full Historical Statements'!E53</f>
        <v>14224</v>
      </c>
      <c r="D32" s="46">
        <f>'Full Historical Statements'!F53</f>
        <v>13931</v>
      </c>
      <c r="E32" s="46">
        <f>'Full Historical Statements'!G53</f>
        <v>34704</v>
      </c>
      <c r="F32" s="46">
        <f>'Full Historical Statements'!H53</f>
        <v>18315</v>
      </c>
      <c r="G32" s="46">
        <f>'Full Historical Statements'!I53</f>
        <v>30242</v>
      </c>
      <c r="H32" s="135">
        <f>'Full Historical Statements'!J53</f>
        <v>43770.74118099</v>
      </c>
      <c r="I32" s="135">
        <f>'Full Historical Statements'!K53</f>
        <v>45015.377808545229</v>
      </c>
      <c r="J32" s="135">
        <f>'Full Historical Statements'!L53</f>
        <v>49320.402594901192</v>
      </c>
      <c r="K32" s="135">
        <f>'Full Historical Statements'!M53</f>
        <v>65799.911435514863</v>
      </c>
      <c r="L32" s="135">
        <f>'Full Historical Statements'!N53</f>
        <v>69204.76134881399</v>
      </c>
    </row>
    <row r="33" spans="2:12">
      <c r="B33" s="5" t="s">
        <v>54</v>
      </c>
      <c r="C33" s="46">
        <f>'Full Historical Statements'!E54</f>
        <v>116110</v>
      </c>
      <c r="D33" s="46">
        <f>'Full Historical Statements'!F54</f>
        <v>90826</v>
      </c>
      <c r="E33" s="46">
        <f>'Full Historical Statements'!G54</f>
        <v>76558</v>
      </c>
      <c r="F33" s="46">
        <f>'Full Historical Statements'!H54</f>
        <v>57228</v>
      </c>
      <c r="G33" s="46">
        <f>'Full Historical Statements'!I54</f>
        <v>64323</v>
      </c>
      <c r="H33" s="135">
        <f>'Full Historical Statements'!J54</f>
        <v>94878</v>
      </c>
      <c r="I33" s="135">
        <f>'Full Historical Statements'!K54</f>
        <v>100865</v>
      </c>
      <c r="J33" s="135">
        <f>'Full Historical Statements'!L54</f>
        <v>105322</v>
      </c>
      <c r="K33" s="135">
        <f>'Full Historical Statements'!M54</f>
        <v>132636</v>
      </c>
      <c r="L33" s="135">
        <f>'Full Historical Statements'!N54</f>
        <v>202629</v>
      </c>
    </row>
    <row r="34" spans="2:12">
      <c r="B34" s="5" t="s">
        <v>56</v>
      </c>
      <c r="C34" s="46">
        <f>'Full Historical Statements'!E56</f>
        <v>38043</v>
      </c>
      <c r="D34" s="46">
        <f>'Full Historical Statements'!F56</f>
        <v>44261</v>
      </c>
      <c r="E34" s="46">
        <f>'Full Historical Statements'!G56</f>
        <v>48688</v>
      </c>
      <c r="F34" s="46">
        <f>'Full Historical Statements'!H56</f>
        <v>56924</v>
      </c>
      <c r="G34" s="46">
        <f>'Full Historical Statements'!I56</f>
        <v>69905</v>
      </c>
      <c r="H34" s="135">
        <f>'Full Historical Statements'!J56</f>
        <v>80773.744109589039</v>
      </c>
      <c r="I34" s="135">
        <f>'Full Historical Statements'!K56</f>
        <v>91869.038630136973</v>
      </c>
      <c r="J34" s="135">
        <f>'Full Historical Statements'!L56</f>
        <v>105649.3944246575</v>
      </c>
      <c r="K34" s="135">
        <f>'Full Historical Statements'!M56</f>
        <v>121496.80358835612</v>
      </c>
      <c r="L34" s="135">
        <f>'Full Historical Statements'!N56</f>
        <v>139721.32412660951</v>
      </c>
    </row>
    <row r="35" spans="2:12">
      <c r="B35" s="5" t="s">
        <v>150</v>
      </c>
      <c r="C35" s="212">
        <f>IFERROR(C34/C8*365,"")</f>
        <v>82.609674694207797</v>
      </c>
      <c r="D35" s="212">
        <f>IFERROR(D34/D8*365,"")</f>
        <v>81.481136833610734</v>
      </c>
      <c r="E35" s="212">
        <f>IFERROR(E34/E8*365,"")</f>
        <v>83.859660713021725</v>
      </c>
      <c r="F35" s="212">
        <f>IFERROR(F34/F8*365,"")</f>
        <v>84.762934375535451</v>
      </c>
      <c r="G35" s="212">
        <f>IFERROR(G34/G8*365,"")</f>
        <v>90.568517414206809</v>
      </c>
      <c r="H35" s="138">
        <f>'Full Historical Statements'!J20</f>
        <v>91</v>
      </c>
      <c r="I35" s="138">
        <f>'Full Historical Statements'!K20</f>
        <v>90</v>
      </c>
      <c r="J35" s="138">
        <f>'Full Historical Statements'!L20</f>
        <v>90</v>
      </c>
      <c r="K35" s="138">
        <f>'Full Historical Statements'!M20</f>
        <v>90</v>
      </c>
      <c r="L35" s="138">
        <f>'Full Historical Statements'!N20</f>
        <v>90</v>
      </c>
    </row>
    <row r="36" spans="2:12">
      <c r="B36" s="5" t="s">
        <v>57</v>
      </c>
      <c r="C36" s="46">
        <f>'Full Historical Statements'!E57</f>
        <v>2636</v>
      </c>
      <c r="D36" s="46">
        <f>'Full Historical Statements'!F57</f>
        <v>3742</v>
      </c>
      <c r="E36" s="46">
        <f>'Full Historical Statements'!G57</f>
        <v>2500</v>
      </c>
      <c r="F36" s="46">
        <f>'Full Historical Statements'!H57</f>
        <v>1246</v>
      </c>
      <c r="G36" s="46">
        <f>'Full Historical Statements'!I57</f>
        <v>938</v>
      </c>
      <c r="H36" s="135">
        <f>'Full Historical Statements'!J57</f>
        <v>825.48991232876699</v>
      </c>
      <c r="I36" s="135">
        <f>'Full Historical Statements'!K57</f>
        <v>653.29094136986294</v>
      </c>
      <c r="J36" s="135">
        <f>'Full Historical Statements'!L57</f>
        <v>774.76222578082172</v>
      </c>
      <c r="K36" s="135">
        <f>'Full Historical Statements'!M57</f>
        <v>863.97726996164351</v>
      </c>
      <c r="L36" s="135">
        <f>'Full Historical Statements'!N57</f>
        <v>931.47549417739697</v>
      </c>
    </row>
    <row r="37" spans="2:12">
      <c r="B37" s="5" t="s">
        <v>151</v>
      </c>
      <c r="C37" s="212">
        <f>IFERROR(C36/C10*365,"")</f>
        <v>18.420508500536069</v>
      </c>
      <c r="D37" s="212">
        <f>IFERROR(D36/D10*365,"")</f>
        <v>21.80095770151636</v>
      </c>
      <c r="E37" s="212">
        <f>IFERROR(E36/E10*365,"")</f>
        <v>13.854516192703034</v>
      </c>
      <c r="F37" s="212">
        <f>IFERROR(F36/F10*365,"")</f>
        <v>6.1363575033057183</v>
      </c>
      <c r="G37" s="212">
        <f>IFERROR(G36/G10*365,"")</f>
        <v>3.8980542177591055</v>
      </c>
      <c r="H37" s="138">
        <f>'Full Historical Statements'!J21</f>
        <v>3</v>
      </c>
      <c r="I37" s="138">
        <f>'Full Historical Statements'!K21</f>
        <v>2</v>
      </c>
      <c r="J37" s="138">
        <f>'Full Historical Statements'!L21</f>
        <v>2</v>
      </c>
      <c r="K37" s="138">
        <f>'Full Historical Statements'!M21</f>
        <v>2</v>
      </c>
      <c r="L37" s="138">
        <f>'Full Historical Statements'!N21</f>
        <v>2</v>
      </c>
    </row>
    <row r="38" spans="2:12">
      <c r="B38" s="5" t="s">
        <v>58</v>
      </c>
      <c r="C38" s="46">
        <f>'Full Historical Statements'!E58</f>
        <v>13393</v>
      </c>
      <c r="D38" s="46">
        <f>'Full Historical Statements'!F58</f>
        <v>16924</v>
      </c>
      <c r="E38" s="46">
        <f>'Full Historical Statements'!G58</f>
        <v>21807</v>
      </c>
      <c r="F38" s="46">
        <f>'Full Historical Statements'!H58</f>
        <v>26021</v>
      </c>
      <c r="G38" s="46">
        <f>'Full Historical Statements'!I58</f>
        <v>25723</v>
      </c>
      <c r="H38" s="135">
        <f>'Full Historical Statements'!J58</f>
        <v>24517</v>
      </c>
      <c r="I38" s="135">
        <f>'Full Historical Statements'!K58</f>
        <v>25420.333333333332</v>
      </c>
      <c r="J38" s="135">
        <f>'Full Historical Statements'!L58</f>
        <v>25220.111111111109</v>
      </c>
      <c r="K38" s="135">
        <f>'Full Historical Statements'!M58</f>
        <v>25052.481481481478</v>
      </c>
      <c r="L38" s="135">
        <f>'Full Historical Statements'!N58</f>
        <v>25230.97530864197</v>
      </c>
    </row>
    <row r="39" spans="2:12">
      <c r="B39" s="17" t="s">
        <v>59</v>
      </c>
      <c r="C39" s="210">
        <f>'Full Historical Statements'!E59</f>
        <v>184406</v>
      </c>
      <c r="D39" s="210">
        <f>'Full Historical Statements'!F59</f>
        <v>169684</v>
      </c>
      <c r="E39" s="210">
        <f>'Full Historical Statements'!G59</f>
        <v>184257</v>
      </c>
      <c r="F39" s="210">
        <f>'Full Historical Statements'!H59</f>
        <v>159734</v>
      </c>
      <c r="G39" s="210">
        <f>'Full Historical Statements'!I59</f>
        <v>191131</v>
      </c>
      <c r="H39" s="136">
        <f>'Full Historical Statements'!J59</f>
        <v>244764.97520290781</v>
      </c>
      <c r="I39" s="136">
        <f>'Full Historical Statements'!K59</f>
        <v>263823.04071338539</v>
      </c>
      <c r="J39" s="136">
        <f>'Full Historical Statements'!L59</f>
        <v>286286.6703564506</v>
      </c>
      <c r="K39" s="136">
        <f>'Full Historical Statements'!M59</f>
        <v>345849.17377531406</v>
      </c>
      <c r="L39" s="136">
        <f>'Full Historical Statements'!N59</f>
        <v>437717.53627824283</v>
      </c>
    </row>
    <row r="40" spans="2:12">
      <c r="B40" s="5" t="s">
        <v>60</v>
      </c>
      <c r="C40" s="46">
        <f>'Full Historical Statements'!E60</f>
        <v>59715</v>
      </c>
      <c r="D40" s="46">
        <f>'Full Historical Statements'!F60</f>
        <v>74398</v>
      </c>
      <c r="E40" s="46">
        <f>'Full Historical Statements'!G60</f>
        <v>95641</v>
      </c>
      <c r="F40" s="46">
        <f>'Full Historical Statements'!H60</f>
        <v>135591</v>
      </c>
      <c r="G40" s="46">
        <f>'Full Historical Statements'!I60</f>
        <v>204966</v>
      </c>
      <c r="H40" s="135">
        <f>'Full Historical Statements'!J60</f>
        <v>216913.52</v>
      </c>
      <c r="I40" s="135">
        <f>'Full Historical Statements'!K60</f>
        <v>323530.81599999999</v>
      </c>
      <c r="J40" s="135">
        <f>'Full Historical Statements'!L60</f>
        <v>387501.07423999999</v>
      </c>
      <c r="K40" s="135">
        <f>'Full Historical Statements'!M60</f>
        <v>406750.79493759997</v>
      </c>
      <c r="L40" s="135">
        <f>'Full Historical Statements'!N60</f>
        <v>426928.08030444791</v>
      </c>
    </row>
    <row r="41" spans="2:12">
      <c r="B41" s="5" t="s">
        <v>152</v>
      </c>
      <c r="C41" s="46">
        <f>'Full Historical Statements'!E61</f>
        <v>11088</v>
      </c>
      <c r="D41" s="46">
        <f>'Full Historical Statements'!F61</f>
        <v>13148</v>
      </c>
      <c r="E41" s="46">
        <f>'Full Historical Statements'!G61</f>
        <v>14346</v>
      </c>
      <c r="F41" s="46">
        <f>'Full Historical Statements'!H61</f>
        <v>18961</v>
      </c>
      <c r="G41" s="46">
        <f>'Full Historical Statements'!I61</f>
        <v>24823</v>
      </c>
      <c r="H41" s="135">
        <f>'Full Historical Statements'!J61</f>
        <v>26064.15</v>
      </c>
      <c r="I41" s="135">
        <f>'Full Historical Statements'!K61</f>
        <v>27367.357500000002</v>
      </c>
      <c r="J41" s="135">
        <f>'Full Historical Statements'!L61</f>
        <v>28735.725375000002</v>
      </c>
      <c r="K41" s="135">
        <f>'Full Historical Statements'!M61</f>
        <v>30172.511643750004</v>
      </c>
      <c r="L41" s="135">
        <f>'Full Historical Statements'!N61</f>
        <v>31681.137225937506</v>
      </c>
    </row>
    <row r="42" spans="2:12">
      <c r="B42" s="5" t="s">
        <v>62</v>
      </c>
      <c r="C42" s="46">
        <f>'Full Historical Statements'!E62</f>
        <v>5984</v>
      </c>
      <c r="D42" s="46">
        <f>'Full Historical Statements'!F62</f>
        <v>6891</v>
      </c>
      <c r="E42" s="46">
        <f>'Full Historical Statements'!G62</f>
        <v>9879</v>
      </c>
      <c r="F42" s="46">
        <f>'Full Historical Statements'!H62</f>
        <v>14600</v>
      </c>
      <c r="G42" s="46">
        <f>'Full Historical Statements'!I62</f>
        <v>15405</v>
      </c>
      <c r="H42" s="135">
        <f>'Full Historical Statements'!J62</f>
        <v>25000</v>
      </c>
      <c r="I42" s="135">
        <f>'Full Historical Statements'!K62</f>
        <v>30000</v>
      </c>
      <c r="J42" s="135">
        <f>'Full Historical Statements'!L62</f>
        <v>30000</v>
      </c>
      <c r="K42" s="135">
        <f>'Full Historical Statements'!M62</f>
        <v>68000</v>
      </c>
      <c r="L42" s="135">
        <f>'Full Historical Statements'!N62</f>
        <v>80000</v>
      </c>
    </row>
    <row r="43" spans="2:12">
      <c r="B43" s="5" t="s">
        <v>63</v>
      </c>
      <c r="C43" s="46">
        <f>'Full Historical Statements'!E63</f>
        <v>49711</v>
      </c>
      <c r="D43" s="46">
        <f>'Full Historical Statements'!F63</f>
        <v>67524</v>
      </c>
      <c r="E43" s="46">
        <f>'Full Historical Statements'!G63</f>
        <v>67886</v>
      </c>
      <c r="F43" s="46">
        <f>'Full Historical Statements'!H63</f>
        <v>119220</v>
      </c>
      <c r="G43" s="46">
        <f>'Full Historical Statements'!I63</f>
        <v>119509</v>
      </c>
      <c r="H43" s="135">
        <f>'Full Historical Statements'!J63</f>
        <v>150000</v>
      </c>
      <c r="I43" s="135">
        <f>'Full Historical Statements'!K63</f>
        <v>150000</v>
      </c>
      <c r="J43" s="135">
        <f>'Full Historical Statements'!L63</f>
        <v>200000</v>
      </c>
      <c r="K43" s="135">
        <f>'Full Historical Statements'!M63</f>
        <v>230000</v>
      </c>
      <c r="L43" s="135">
        <f>'Full Historical Statements'!N63</f>
        <v>290000</v>
      </c>
    </row>
    <row r="44" spans="2:12">
      <c r="B44" s="5" t="s">
        <v>64</v>
      </c>
      <c r="C44" s="46">
        <f>'Full Historical Statements'!E64</f>
        <v>7800</v>
      </c>
      <c r="D44" s="46">
        <f>'Full Historical Statements'!F64</f>
        <v>11298</v>
      </c>
      <c r="E44" s="46">
        <f>'Full Historical Statements'!G64</f>
        <v>9366</v>
      </c>
      <c r="F44" s="46">
        <f>'Full Historical Statements'!H64</f>
        <v>27597</v>
      </c>
      <c r="G44" s="46">
        <f>'Full Historical Statements'!I64</f>
        <v>22604</v>
      </c>
      <c r="H44" s="135">
        <f>'Full Historical Statements'!J64</f>
        <v>19855.666666666668</v>
      </c>
      <c r="I44" s="135">
        <f>'Full Historical Statements'!K64</f>
        <v>23352.222222222223</v>
      </c>
      <c r="J44" s="135">
        <f>'Full Historical Statements'!L64</f>
        <v>21937.296296296296</v>
      </c>
      <c r="K44" s="135">
        <f>'Full Historical Statements'!M64</f>
        <v>21715.06172839506</v>
      </c>
      <c r="L44" s="135">
        <f>'Full Historical Statements'!N64</f>
        <v>22334.860082304527</v>
      </c>
    </row>
    <row r="45" spans="2:12">
      <c r="B45" s="5" t="s">
        <v>65</v>
      </c>
      <c r="C45" s="46">
        <f>'Full Historical Statements'!E65</f>
        <v>15075</v>
      </c>
      <c r="D45" s="46">
        <f>'Full Historical Statements'!F65</f>
        <v>21897</v>
      </c>
      <c r="E45" s="46">
        <f>'Full Historical Statements'!G65</f>
        <v>30601</v>
      </c>
      <c r="F45" s="46">
        <f>'Full Historical Statements'!H65</f>
        <v>36460</v>
      </c>
      <c r="G45" s="46">
        <f>'Full Historical Statements'!I65</f>
        <v>40565</v>
      </c>
      <c r="H45" s="135">
        <f>'Full Historical Statements'!J65</f>
        <v>46649.75</v>
      </c>
      <c r="I45" s="135">
        <f>'Full Historical Statements'!K65</f>
        <v>53647.212499999994</v>
      </c>
      <c r="J45" s="135">
        <f>'Full Historical Statements'!L65</f>
        <v>61694.29437499999</v>
      </c>
      <c r="K45" s="135">
        <f>'Full Historical Statements'!M65</f>
        <v>70948.43853124998</v>
      </c>
      <c r="L45" s="135">
        <f>'Full Historical Statements'!N65</f>
        <v>81590.704310937464</v>
      </c>
    </row>
    <row r="46" spans="2:12">
      <c r="B46" s="17" t="s">
        <v>66</v>
      </c>
      <c r="C46" s="210">
        <f>'Full Historical Statements'!E66</f>
        <v>333779</v>
      </c>
      <c r="D46" s="210">
        <f>'Full Historical Statements'!F66</f>
        <v>364840</v>
      </c>
      <c r="E46" s="210">
        <f>'Full Historical Statements'!G66</f>
        <v>411976</v>
      </c>
      <c r="F46" s="210">
        <f>'Full Historical Statements'!H66</f>
        <v>512163</v>
      </c>
      <c r="G46" s="210">
        <f>'Full Historical Statements'!I66</f>
        <v>619003</v>
      </c>
      <c r="H46" s="136">
        <f>'Full Historical Statements'!J66</f>
        <v>729248.06186957448</v>
      </c>
      <c r="I46" s="136">
        <f>'Full Historical Statements'!K66</f>
        <v>871720.64893560763</v>
      </c>
      <c r="J46" s="136">
        <f>'Full Historical Statements'!L66</f>
        <v>1016155.0606427469</v>
      </c>
      <c r="K46" s="136">
        <f>'Full Historical Statements'!M66</f>
        <v>1173435.980616309</v>
      </c>
      <c r="L46" s="136">
        <f>'Full Historical Statements'!N66</f>
        <v>1370252.3182018704</v>
      </c>
    </row>
    <row r="47" spans="2:12">
      <c r="B47" s="5" t="s">
        <v>67</v>
      </c>
      <c r="C47" s="46">
        <f>'Full Historical Statements'!E68</f>
        <v>15163</v>
      </c>
      <c r="D47" s="46">
        <f>'Full Historical Statements'!F68</f>
        <v>19000</v>
      </c>
      <c r="E47" s="46">
        <f>'Full Historical Statements'!G68</f>
        <v>18095</v>
      </c>
      <c r="F47" s="46">
        <f>'Full Historical Statements'!H68</f>
        <v>21996</v>
      </c>
      <c r="G47" s="46">
        <f>'Full Historical Statements'!I68</f>
        <v>27724</v>
      </c>
      <c r="H47" s="135">
        <f>'Full Historical Statements'!J68</f>
        <v>31643.779972602733</v>
      </c>
      <c r="I47" s="135">
        <f>'Full Historical Statements'!K68</f>
        <v>37890.87459945205</v>
      </c>
      <c r="J47" s="135">
        <f>'Full Historical Statements'!L68</f>
        <v>45323.590208178073</v>
      </c>
      <c r="K47" s="135">
        <f>'Full Historical Statements'!M68</f>
        <v>50542.670292756142</v>
      </c>
      <c r="L47" s="135">
        <f>'Full Historical Statements'!N68</f>
        <v>54491.316409377723</v>
      </c>
    </row>
    <row r="48" spans="2:12">
      <c r="B48" s="5" t="s">
        <v>153</v>
      </c>
      <c r="C48" s="212">
        <f>IFERROR(C47/C10*365,"")</f>
        <v>105.95985219788636</v>
      </c>
      <c r="D48" s="212">
        <f>IFERROR(D47/D10*365,"")</f>
        <v>110.69433359936153</v>
      </c>
      <c r="E48" s="212">
        <f>IFERROR(E47/E10*365,"")</f>
        <v>100.27898820278456</v>
      </c>
      <c r="F48" s="212">
        <f>IFERROR(F47/F10*365,"")</f>
        <v>108.32690179992984</v>
      </c>
      <c r="G48" s="212">
        <f>IFERROR(G47/G10*365,"")</f>
        <v>115.21285195432137</v>
      </c>
      <c r="H48" s="138">
        <f>'Full Historical Statements'!J22</f>
        <v>115</v>
      </c>
      <c r="I48" s="138">
        <f>'Full Historical Statements'!K22</f>
        <v>116</v>
      </c>
      <c r="J48" s="138">
        <f>'Full Historical Statements'!L22</f>
        <v>117</v>
      </c>
      <c r="K48" s="138">
        <f>'Full Historical Statements'!M22</f>
        <v>117</v>
      </c>
      <c r="L48" s="138">
        <f>'Full Historical Statements'!N22</f>
        <v>117</v>
      </c>
    </row>
    <row r="49" spans="2:12">
      <c r="B49" s="5" t="s">
        <v>68</v>
      </c>
      <c r="C49" s="46">
        <f>'Full Historical Statements'!E69</f>
        <v>0</v>
      </c>
      <c r="D49" s="46">
        <f>'Full Historical Statements'!F69</f>
        <v>0</v>
      </c>
      <c r="E49" s="46">
        <f>'Full Historical Statements'!G69</f>
        <v>0</v>
      </c>
      <c r="F49" s="46">
        <f>'Full Historical Statements'!H69</f>
        <v>6693</v>
      </c>
      <c r="G49" s="46">
        <f>'Full Historical Statements'!I69</f>
        <v>0</v>
      </c>
      <c r="H49" s="135">
        <f>'Full Historical Statements'!J69</f>
        <v>0</v>
      </c>
      <c r="I49" s="135">
        <f>'Full Historical Statements'!K69</f>
        <v>0</v>
      </c>
      <c r="J49" s="135">
        <f>'Full Historical Statements'!L69</f>
        <v>0</v>
      </c>
      <c r="K49" s="135">
        <f>'Full Historical Statements'!M69</f>
        <v>0</v>
      </c>
      <c r="L49" s="135">
        <f>'Full Historical Statements'!N69</f>
        <v>0</v>
      </c>
    </row>
    <row r="50" spans="2:12">
      <c r="B50" s="5" t="s">
        <v>69</v>
      </c>
      <c r="C50" s="46">
        <f>'Full Historical Statements'!E70</f>
        <v>8072</v>
      </c>
      <c r="D50" s="46">
        <f>'Full Historical Statements'!F70</f>
        <v>2749</v>
      </c>
      <c r="E50" s="46">
        <f>'Full Historical Statements'!G70</f>
        <v>5247</v>
      </c>
      <c r="F50" s="46">
        <f>'Full Historical Statements'!H70</f>
        <v>2249</v>
      </c>
      <c r="G50" s="46">
        <f>'Full Historical Statements'!I70</f>
        <v>2999</v>
      </c>
      <c r="H50" s="135">
        <f>'Full Historical Statements'!J70</f>
        <v>2000</v>
      </c>
      <c r="I50" s="135">
        <f>'Full Historical Statements'!K70</f>
        <v>5000</v>
      </c>
      <c r="J50" s="135">
        <f>'Full Historical Statements'!L70</f>
        <v>9000</v>
      </c>
      <c r="K50" s="135">
        <f>'Full Historical Statements'!M70</f>
        <v>2000</v>
      </c>
      <c r="L50" s="135">
        <f>'Full Historical Statements'!N70</f>
        <v>2500</v>
      </c>
    </row>
    <row r="51" spans="2:12">
      <c r="B51" s="5" t="s">
        <v>70</v>
      </c>
      <c r="C51" s="46">
        <f>'Full Historical Statements'!E71</f>
        <v>10057</v>
      </c>
      <c r="D51" s="46">
        <f>'Full Historical Statements'!F71</f>
        <v>10661</v>
      </c>
      <c r="E51" s="46">
        <f>'Full Historical Statements'!G71</f>
        <v>11009</v>
      </c>
      <c r="F51" s="46">
        <f>'Full Historical Statements'!H71</f>
        <v>12564</v>
      </c>
      <c r="G51" s="46">
        <f>'Full Historical Statements'!I71</f>
        <v>13709</v>
      </c>
      <c r="H51" s="135">
        <f>'Full Historical Statements'!J71</f>
        <v>14394.45</v>
      </c>
      <c r="I51" s="135">
        <f>'Full Historical Statements'!K71</f>
        <v>15114.172500000001</v>
      </c>
      <c r="J51" s="135">
        <f>'Full Historical Statements'!L71</f>
        <v>15869.881125000002</v>
      </c>
      <c r="K51" s="135">
        <f>'Full Historical Statements'!M71</f>
        <v>16663.375181250001</v>
      </c>
      <c r="L51" s="135">
        <f>'Full Historical Statements'!N71</f>
        <v>17496.543940312502</v>
      </c>
    </row>
    <row r="52" spans="2:12">
      <c r="B52" s="5" t="s">
        <v>71</v>
      </c>
      <c r="C52" s="46">
        <f>'Full Historical Statements'!E72</f>
        <v>2174</v>
      </c>
      <c r="D52" s="46">
        <f>'Full Historical Statements'!F72</f>
        <v>4067</v>
      </c>
      <c r="E52" s="46">
        <f>'Full Historical Statements'!G72</f>
        <v>4152</v>
      </c>
      <c r="F52" s="46">
        <f>'Full Historical Statements'!H72</f>
        <v>5017</v>
      </c>
      <c r="G52" s="46">
        <f>'Full Historical Statements'!I72</f>
        <v>7211</v>
      </c>
      <c r="H52" s="135">
        <f>'Full Historical Statements'!J72</f>
        <v>8076.3200000000006</v>
      </c>
      <c r="I52" s="135">
        <f>'Full Historical Statements'!K72</f>
        <v>9045.4784000000018</v>
      </c>
      <c r="J52" s="135">
        <f>'Full Historical Statements'!L72</f>
        <v>10130.935808000004</v>
      </c>
      <c r="K52" s="135">
        <f>'Full Historical Statements'!M72</f>
        <v>11346.648104960006</v>
      </c>
      <c r="L52" s="135">
        <f>'Full Historical Statements'!N72</f>
        <v>12708.245877555208</v>
      </c>
    </row>
    <row r="53" spans="2:12">
      <c r="B53" s="5" t="s">
        <v>72</v>
      </c>
      <c r="C53" s="46">
        <f>'Full Historical Statements'!E73</f>
        <v>41525</v>
      </c>
      <c r="D53" s="46">
        <f>'Full Historical Statements'!F73</f>
        <v>45538</v>
      </c>
      <c r="E53" s="46">
        <f>'Full Historical Statements'!G73</f>
        <v>50901</v>
      </c>
      <c r="F53" s="46">
        <f>'Full Historical Statements'!H73</f>
        <v>57582</v>
      </c>
      <c r="G53" s="46">
        <f>'Full Historical Statements'!I73</f>
        <v>64555</v>
      </c>
      <c r="H53" s="135">
        <f>'Full Historical Statements'!J73</f>
        <v>67782.75</v>
      </c>
      <c r="I53" s="135">
        <f>'Full Historical Statements'!K73</f>
        <v>71171.887499999997</v>
      </c>
      <c r="J53" s="135">
        <f>'Full Historical Statements'!L73</f>
        <v>73307.044125</v>
      </c>
      <c r="K53" s="135">
        <f>'Full Historical Statements'!M73</f>
        <v>75506.255448750002</v>
      </c>
      <c r="L53" s="135">
        <f>'Full Historical Statements'!N73</f>
        <v>77771.44311221251</v>
      </c>
    </row>
    <row r="54" spans="2:12">
      <c r="B54" s="5" t="s">
        <v>73</v>
      </c>
      <c r="C54" s="46">
        <f>'Full Historical Statements'!E74</f>
        <v>11666</v>
      </c>
      <c r="D54" s="46">
        <f>'Full Historical Statements'!F74</f>
        <v>13067</v>
      </c>
      <c r="E54" s="46">
        <f>'Full Historical Statements'!G74</f>
        <v>14745</v>
      </c>
      <c r="F54" s="46">
        <f>'Full Historical Statements'!H74</f>
        <v>19185</v>
      </c>
      <c r="G54" s="46">
        <f>'Full Historical Statements'!I74</f>
        <v>25020</v>
      </c>
      <c r="H54" s="135">
        <f>'Full Historical Statements'!J74</f>
        <v>28772.999999999996</v>
      </c>
      <c r="I54" s="135">
        <f>'Full Historical Statements'!K74</f>
        <v>33088.94999999999</v>
      </c>
      <c r="J54" s="135">
        <f>'Full Historical Statements'!L74</f>
        <v>38052.292499999989</v>
      </c>
      <c r="K54" s="135">
        <f>'Full Historical Statements'!M74</f>
        <v>43760.13637499998</v>
      </c>
      <c r="L54" s="135">
        <f>'Full Historical Statements'!N74</f>
        <v>50324.156831249973</v>
      </c>
    </row>
    <row r="55" spans="2:12">
      <c r="B55" s="17" t="s">
        <v>74</v>
      </c>
      <c r="C55" s="210">
        <f>'Full Historical Statements'!E75</f>
        <v>88657</v>
      </c>
      <c r="D55" s="210">
        <f>'Full Historical Statements'!F75</f>
        <v>95082</v>
      </c>
      <c r="E55" s="210">
        <f>'Full Historical Statements'!G75</f>
        <v>104149</v>
      </c>
      <c r="F55" s="210">
        <f>'Full Historical Statements'!H75</f>
        <v>125286</v>
      </c>
      <c r="G55" s="210">
        <f>'Full Historical Statements'!I75</f>
        <v>141218</v>
      </c>
      <c r="H55" s="136">
        <f>'Full Historical Statements'!J75</f>
        <v>152670.29997260272</v>
      </c>
      <c r="I55" s="136">
        <f>'Full Historical Statements'!K75</f>
        <v>171311.36299945202</v>
      </c>
      <c r="J55" s="136">
        <f>'Full Historical Statements'!L75</f>
        <v>191683.74376617809</v>
      </c>
      <c r="K55" s="136">
        <f>'Full Historical Statements'!M75</f>
        <v>199819.08540271613</v>
      </c>
      <c r="L55" s="136">
        <f>'Full Historical Statements'!N75</f>
        <v>215291.70617070791</v>
      </c>
    </row>
    <row r="56" spans="2:12">
      <c r="B56" s="5" t="s">
        <v>75</v>
      </c>
      <c r="C56" s="46">
        <f>'Full Historical Statements'!E76</f>
        <v>50074</v>
      </c>
      <c r="D56" s="46">
        <f>'Full Historical Statements'!F76</f>
        <v>47032</v>
      </c>
      <c r="E56" s="46">
        <f>'Full Historical Statements'!G76</f>
        <v>41990</v>
      </c>
      <c r="F56" s="46">
        <f>'Full Historical Statements'!H76</f>
        <v>42688</v>
      </c>
      <c r="G56" s="46">
        <f>'Full Historical Statements'!I76</f>
        <v>40152</v>
      </c>
      <c r="H56" s="135">
        <f>'Full Historical Statements'!J76</f>
        <v>45152</v>
      </c>
      <c r="I56" s="135">
        <f>'Full Historical Statements'!K76</f>
        <v>56151</v>
      </c>
      <c r="J56" s="135">
        <f>'Full Historical Statements'!L76</f>
        <v>48151</v>
      </c>
      <c r="K56" s="135">
        <f>'Full Historical Statements'!M76</f>
        <v>35151</v>
      </c>
      <c r="L56" s="135">
        <f>'Full Historical Statements'!N76</f>
        <v>18000</v>
      </c>
    </row>
    <row r="57" spans="2:12">
      <c r="B57" s="5" t="s">
        <v>76</v>
      </c>
      <c r="C57" s="46">
        <f>'Full Historical Statements'!E77</f>
        <v>27190</v>
      </c>
      <c r="D57" s="46">
        <f>'Full Historical Statements'!F77</f>
        <v>26069</v>
      </c>
      <c r="E57" s="46">
        <f>'Full Historical Statements'!G77</f>
        <v>25560</v>
      </c>
      <c r="F57" s="46">
        <f>'Full Historical Statements'!H77</f>
        <v>27931</v>
      </c>
      <c r="G57" s="46">
        <f>'Full Historical Statements'!I77</f>
        <v>25986</v>
      </c>
      <c r="H57" s="135">
        <f>'Full Historical Statements'!J77</f>
        <v>26492.333333333332</v>
      </c>
      <c r="I57" s="135">
        <f>'Full Historical Statements'!K77</f>
        <v>26803.111111111109</v>
      </c>
      <c r="J57" s="135">
        <f>'Full Historical Statements'!L77</f>
        <v>26427.148148148146</v>
      </c>
      <c r="K57" s="135">
        <f>'Full Historical Statements'!M77</f>
        <v>26574.197530864196</v>
      </c>
      <c r="L57" s="135">
        <f>'Full Historical Statements'!N77</f>
        <v>26601.485596707818</v>
      </c>
    </row>
    <row r="58" spans="2:12">
      <c r="B58" s="5" t="s">
        <v>77</v>
      </c>
      <c r="C58" s="46">
        <f>'Full Historical Statements'!E78</f>
        <v>2616</v>
      </c>
      <c r="D58" s="46">
        <f>'Full Historical Statements'!F78</f>
        <v>2870</v>
      </c>
      <c r="E58" s="46">
        <f>'Full Historical Statements'!G78</f>
        <v>2912</v>
      </c>
      <c r="F58" s="46">
        <f>'Full Historical Statements'!H78</f>
        <v>2602</v>
      </c>
      <c r="G58" s="46">
        <f>'Full Historical Statements'!I78</f>
        <v>2710</v>
      </c>
      <c r="H58" s="135">
        <f>'Full Historical Statements'!J78</f>
        <v>2741.3333333333335</v>
      </c>
      <c r="I58" s="135">
        <f>'Full Historical Statements'!K78</f>
        <v>2684.4444444444448</v>
      </c>
      <c r="J58" s="135">
        <f>'Full Historical Statements'!L78</f>
        <v>2711.9259259259265</v>
      </c>
      <c r="K58" s="135">
        <f>'Full Historical Statements'!M78</f>
        <v>2712.5679012345681</v>
      </c>
      <c r="L58" s="135">
        <f>'Full Historical Statements'!N78</f>
        <v>2702.979423868313</v>
      </c>
    </row>
    <row r="59" spans="2:12">
      <c r="B59" s="5" t="s">
        <v>154</v>
      </c>
      <c r="C59" s="46">
        <f>'Full Historical Statements'!E79</f>
        <v>198</v>
      </c>
      <c r="D59" s="46">
        <f>'Full Historical Statements'!F79</f>
        <v>230</v>
      </c>
      <c r="E59" s="46">
        <f>'Full Historical Statements'!G79</f>
        <v>433</v>
      </c>
      <c r="F59" s="46">
        <f>'Full Historical Statements'!H79</f>
        <v>2618</v>
      </c>
      <c r="G59" s="46">
        <f>'Full Historical Statements'!I79</f>
        <v>2835</v>
      </c>
      <c r="H59" s="135">
        <f>'Full Historical Statements'!J79</f>
        <v>3000</v>
      </c>
      <c r="I59" s="135">
        <f>'Full Historical Statements'!K79</f>
        <v>3000</v>
      </c>
      <c r="J59" s="135">
        <f>'Full Historical Statements'!L79</f>
        <v>2000</v>
      </c>
      <c r="K59" s="135">
        <f>'Full Historical Statements'!M79</f>
        <v>2000</v>
      </c>
      <c r="L59" s="135">
        <f>'Full Historical Statements'!N79</f>
        <v>550</v>
      </c>
    </row>
    <row r="60" spans="2:12">
      <c r="B60" s="5" t="s">
        <v>79</v>
      </c>
      <c r="C60" s="46">
        <f>'Full Historical Statements'!E80</f>
        <v>9629</v>
      </c>
      <c r="D60" s="46">
        <f>'Full Historical Statements'!F80</f>
        <v>11489</v>
      </c>
      <c r="E60" s="46">
        <f>'Full Historical Statements'!G80</f>
        <v>12728</v>
      </c>
      <c r="F60" s="46">
        <f>'Full Historical Statements'!H80</f>
        <v>15497</v>
      </c>
      <c r="G60" s="46">
        <f>'Full Historical Statements'!I80</f>
        <v>17437</v>
      </c>
      <c r="H60" s="135">
        <f>'Full Historical Statements'!J80</f>
        <v>19180.7</v>
      </c>
      <c r="I60" s="135">
        <f>'Full Historical Statements'!K80</f>
        <v>21098.770000000004</v>
      </c>
      <c r="J60" s="135">
        <f>'Full Historical Statements'!L80</f>
        <v>23208.647000000008</v>
      </c>
      <c r="K60" s="135">
        <f>'Full Historical Statements'!M80</f>
        <v>25529.51170000001</v>
      </c>
      <c r="L60" s="135">
        <f>'Full Historical Statements'!N80</f>
        <v>28082.462870000014</v>
      </c>
    </row>
    <row r="61" spans="2:12">
      <c r="B61" s="5" t="s">
        <v>80</v>
      </c>
      <c r="C61" s="46">
        <f>'Full Historical Statements'!E81</f>
        <v>13427</v>
      </c>
      <c r="D61" s="46">
        <f>'Full Historical Statements'!F81</f>
        <v>15526</v>
      </c>
      <c r="E61" s="46">
        <f>'Full Historical Statements'!G81</f>
        <v>17981</v>
      </c>
      <c r="F61" s="46">
        <f>'Full Historical Statements'!H81</f>
        <v>27064</v>
      </c>
      <c r="G61" s="46">
        <f>'Full Historical Statements'!I81</f>
        <v>45186</v>
      </c>
      <c r="H61" s="135">
        <f>'Full Historical Statements'!J81</f>
        <v>54223.199999999997</v>
      </c>
      <c r="I61" s="135">
        <f>'Full Historical Statements'!K81</f>
        <v>59645.520000000004</v>
      </c>
      <c r="J61" s="135">
        <f>'Full Historical Statements'!L81</f>
        <v>65610.072000000015</v>
      </c>
      <c r="K61" s="135">
        <f>'Full Historical Statements'!M81</f>
        <v>72171.079200000022</v>
      </c>
      <c r="L61" s="135">
        <f>'Full Historical Statements'!N81</f>
        <v>79388.187120000031</v>
      </c>
    </row>
    <row r="62" spans="2:12">
      <c r="B62" s="17" t="s">
        <v>81</v>
      </c>
      <c r="C62" s="210">
        <f>'Full Historical Statements'!E82</f>
        <v>191791</v>
      </c>
      <c r="D62" s="210">
        <f>'Full Historical Statements'!F82</f>
        <v>198298</v>
      </c>
      <c r="E62" s="210">
        <f>'Full Historical Statements'!G82</f>
        <v>205753</v>
      </c>
      <c r="F62" s="210">
        <f>'Full Historical Statements'!H82</f>
        <v>243686</v>
      </c>
      <c r="G62" s="210">
        <f>'Full Historical Statements'!I82</f>
        <v>275524</v>
      </c>
      <c r="H62" s="136">
        <f>'Full Historical Statements'!J82</f>
        <v>303459.8666392694</v>
      </c>
      <c r="I62" s="136">
        <f>'Full Historical Statements'!K82</f>
        <v>340694.20855500759</v>
      </c>
      <c r="J62" s="136">
        <f>'Full Historical Statements'!L82</f>
        <v>359792.53684025211</v>
      </c>
      <c r="K62" s="136">
        <f>'Full Historical Statements'!M82</f>
        <v>363957.44173481496</v>
      </c>
      <c r="L62" s="136">
        <f>'Full Historical Statements'!N82</f>
        <v>370616.82118128403</v>
      </c>
    </row>
    <row r="63" spans="2:12">
      <c r="B63" s="5" t="s">
        <v>82</v>
      </c>
      <c r="C63" s="46">
        <f>'Full Historical Statements'!E83</f>
        <v>83111</v>
      </c>
      <c r="D63" s="46">
        <f>'Full Historical Statements'!F83</f>
        <v>86939</v>
      </c>
      <c r="E63" s="46">
        <f>'Full Historical Statements'!G83</f>
        <v>93718</v>
      </c>
      <c r="F63" s="46">
        <f>'Full Historical Statements'!H83</f>
        <v>100923</v>
      </c>
      <c r="G63" s="46">
        <f>'Full Historical Statements'!I83</f>
        <v>109095</v>
      </c>
      <c r="H63" s="135">
        <f>'Full Historical Statements'!J83</f>
        <v>112367.85</v>
      </c>
      <c r="I63" s="135">
        <f>'Full Historical Statements'!K83</f>
        <v>115738.8855</v>
      </c>
      <c r="J63" s="135">
        <f>'Full Historical Statements'!L83</f>
        <v>119211.05206500001</v>
      </c>
      <c r="K63" s="135">
        <f>'Full Historical Statements'!M83</f>
        <v>122787.38362695002</v>
      </c>
      <c r="L63" s="135">
        <f>'Full Historical Statements'!N83</f>
        <v>126471.00513575852</v>
      </c>
    </row>
    <row r="64" spans="2:12">
      <c r="B64" s="5" t="s">
        <v>83</v>
      </c>
      <c r="C64" s="46">
        <f>'Full Historical Statements'!E84</f>
        <v>57055</v>
      </c>
      <c r="D64" s="46">
        <f>'Full Historical Statements'!F84</f>
        <v>84281</v>
      </c>
      <c r="E64" s="46">
        <f>'Full Historical Statements'!G84</f>
        <v>118848</v>
      </c>
      <c r="F64" s="46">
        <f>'Full Historical Statements'!H84</f>
        <v>173144</v>
      </c>
      <c r="G64" s="46">
        <f>'Full Historical Statements'!I84</f>
        <v>237731</v>
      </c>
      <c r="H64" s="135">
        <f>'Full Historical Statements'!J84</f>
        <v>318513.20184217725</v>
      </c>
      <c r="I64" s="135">
        <f>'Full Historical Statements'!K84</f>
        <v>419964.01280172635</v>
      </c>
      <c r="J64" s="135">
        <f>'Full Historical Statements'!L84</f>
        <v>541523.63850314717</v>
      </c>
      <c r="K64" s="135">
        <f>'Full Historical Statements'!M84</f>
        <v>691405.74235260824</v>
      </c>
      <c r="L64" s="135">
        <f>'Full Historical Statements'!N84</f>
        <v>877752.53894770064</v>
      </c>
    </row>
    <row r="65" spans="2:12">
      <c r="B65" s="5" t="s">
        <v>155</v>
      </c>
      <c r="C65" s="46">
        <f>'Full Historical Statements'!E85</f>
        <v>1822</v>
      </c>
      <c r="D65" s="46">
        <f>'Full Historical Statements'!F85</f>
        <v>-4678</v>
      </c>
      <c r="E65" s="46">
        <f>'Full Historical Statements'!G85</f>
        <v>-6343</v>
      </c>
      <c r="F65" s="46">
        <f>'Full Historical Statements'!H85</f>
        <v>-5590</v>
      </c>
      <c r="G65" s="46">
        <f>'Full Historical Statements'!I85</f>
        <v>-3347</v>
      </c>
      <c r="H65" s="135">
        <f>'Full Historical Statements'!J85</f>
        <v>-5093.333333333333</v>
      </c>
      <c r="I65" s="135">
        <f>'Full Historical Statements'!K85</f>
        <v>-4676.7777777777774</v>
      </c>
      <c r="J65" s="135">
        <f>'Full Historical Statements'!L85</f>
        <v>-4372.3703703703695</v>
      </c>
      <c r="K65" s="135">
        <f>'Full Historical Statements'!M85</f>
        <v>-4714.1604938271594</v>
      </c>
      <c r="L65" s="135">
        <f>'Full Historical Statements'!N85</f>
        <v>-4587.7695473251015</v>
      </c>
    </row>
    <row r="66" spans="2:12">
      <c r="B66" s="17" t="s">
        <v>85</v>
      </c>
      <c r="C66" s="210">
        <f>'Full Historical Statements'!E86</f>
        <v>141988</v>
      </c>
      <c r="D66" s="210">
        <f>'Full Historical Statements'!F86</f>
        <v>166542</v>
      </c>
      <c r="E66" s="210">
        <f>'Full Historical Statements'!G86</f>
        <v>206223</v>
      </c>
      <c r="F66" s="210">
        <f>'Full Historical Statements'!H86</f>
        <v>268477</v>
      </c>
      <c r="G66" s="210">
        <f>'Full Historical Statements'!I86</f>
        <v>343479</v>
      </c>
      <c r="H66" s="136">
        <f>'Full Historical Statements'!J86</f>
        <v>425787.71850884397</v>
      </c>
      <c r="I66" s="136">
        <f>'Full Historical Statements'!K86</f>
        <v>531026.12052394857</v>
      </c>
      <c r="J66" s="136">
        <f>'Full Historical Statements'!L86</f>
        <v>656362.32019777689</v>
      </c>
      <c r="K66" s="136">
        <f>'Full Historical Statements'!M86</f>
        <v>809478.96548573102</v>
      </c>
      <c r="L66" s="136">
        <f>'Full Historical Statements'!N86</f>
        <v>999635.77453613409</v>
      </c>
    </row>
    <row r="67" spans="2:12">
      <c r="B67" s="17" t="s">
        <v>86</v>
      </c>
      <c r="C67" s="210">
        <f>'Full Historical Statements'!E87</f>
        <v>333779</v>
      </c>
      <c r="D67" s="210">
        <f>'Full Historical Statements'!F87</f>
        <v>364840</v>
      </c>
      <c r="E67" s="210">
        <f>'Full Historical Statements'!G87</f>
        <v>411976</v>
      </c>
      <c r="F67" s="210">
        <f>'Full Historical Statements'!H87</f>
        <v>512163</v>
      </c>
      <c r="G67" s="210">
        <f>'Full Historical Statements'!I87</f>
        <v>619003</v>
      </c>
      <c r="H67" s="136">
        <f>'Full Historical Statements'!J87</f>
        <v>729247.58514811331</v>
      </c>
      <c r="I67" s="136">
        <f>'Full Historical Statements'!K87</f>
        <v>871720.32907895616</v>
      </c>
      <c r="J67" s="136">
        <f>'Full Historical Statements'!L87</f>
        <v>1016154.857038029</v>
      </c>
      <c r="K67" s="136">
        <f>'Full Historical Statements'!M87</f>
        <v>1173436.4072205459</v>
      </c>
      <c r="L67" s="136">
        <f>'Full Historical Statements'!N87</f>
        <v>1370252.595717418</v>
      </c>
    </row>
    <row r="68" spans="2:12">
      <c r="B68" s="20" t="s">
        <v>87</v>
      </c>
      <c r="C68" s="139">
        <f>'Full Historical Statements'!E88</f>
        <v>0</v>
      </c>
      <c r="D68" s="139">
        <f>'Full Historical Statements'!F88</f>
        <v>0</v>
      </c>
      <c r="E68" s="139">
        <f>'Full Historical Statements'!G88</f>
        <v>0</v>
      </c>
      <c r="F68" s="139">
        <f>'Full Historical Statements'!H88</f>
        <v>0</v>
      </c>
      <c r="G68" s="139">
        <f>'Full Historical Statements'!I88</f>
        <v>0</v>
      </c>
      <c r="H68" s="136">
        <f>'Full Historical Statements'!J88</f>
        <v>0.47672146116383374</v>
      </c>
      <c r="I68" s="136">
        <f>'Full Historical Statements'!K88</f>
        <v>0.31985665147658437</v>
      </c>
      <c r="J68" s="136">
        <f>'Full Historical Statements'!L88</f>
        <v>0.20360471785534173</v>
      </c>
      <c r="K68" s="136">
        <f>'Full Historical Statements'!M88</f>
        <v>-0.42660423694178462</v>
      </c>
      <c r="L68" s="136">
        <f>'Full Historical Statements'!N88</f>
        <v>-0.27751554758287966</v>
      </c>
    </row>
    <row r="69" spans="2:12">
      <c r="C69" s="10"/>
      <c r="D69" s="10"/>
      <c r="E69" s="10"/>
      <c r="F69" s="10"/>
      <c r="G69" s="10"/>
      <c r="H69" s="134"/>
      <c r="I69" s="134"/>
      <c r="J69" s="134"/>
      <c r="K69" s="134"/>
      <c r="L69" s="134"/>
    </row>
    <row r="70" spans="2:12">
      <c r="C70" s="10"/>
      <c r="D70" s="10"/>
      <c r="E70" s="10"/>
      <c r="F70" s="10"/>
      <c r="G70" s="10"/>
      <c r="H70" s="134"/>
      <c r="I70" s="134"/>
      <c r="J70" s="134"/>
      <c r="K70" s="134"/>
      <c r="L70" s="134"/>
    </row>
    <row r="71" spans="2:12" ht="18">
      <c r="B71" s="219" t="s">
        <v>88</v>
      </c>
      <c r="C71" s="220"/>
      <c r="D71" s="220"/>
      <c r="E71" s="220"/>
      <c r="F71" s="220"/>
      <c r="G71" s="220"/>
      <c r="H71" s="221"/>
      <c r="I71" s="221"/>
      <c r="J71" s="221"/>
      <c r="K71" s="221"/>
      <c r="L71" s="221"/>
    </row>
    <row r="72" spans="2:12">
      <c r="B72" s="5" t="s">
        <v>89</v>
      </c>
      <c r="C72" s="46">
        <f>'Full Historical Statements'!E92</f>
        <v>61271</v>
      </c>
      <c r="D72" s="46">
        <f>'Full Historical Statements'!F92</f>
        <v>72738</v>
      </c>
      <c r="E72" s="46">
        <f>'Full Historical Statements'!G92</f>
        <v>72361</v>
      </c>
      <c r="F72" s="46">
        <f>'Full Historical Statements'!H92</f>
        <v>88136</v>
      </c>
      <c r="G72" s="46">
        <f>'Full Historical Statements'!I92</f>
        <v>101832</v>
      </c>
      <c r="H72" s="135">
        <f>'Full Historical Statements'!J92</f>
        <v>125575.20184217724</v>
      </c>
      <c r="I72" s="135">
        <f>'Full Historical Statements'!K92</f>
        <v>144200.1909595491</v>
      </c>
      <c r="J72" s="135">
        <f>'Full Historical Statements'!L92</f>
        <v>166671.44990142086</v>
      </c>
      <c r="K72" s="135">
        <f>'Full Historical Statements'!M92</f>
        <v>197568.99222746104</v>
      </c>
      <c r="L72" s="135">
        <f>'Full Historical Statements'!N92</f>
        <v>236840.50492711243</v>
      </c>
    </row>
    <row r="73" spans="2:12">
      <c r="B73" s="5" t="s">
        <v>90</v>
      </c>
      <c r="C73" s="46">
        <f>'Full Historical Statements'!E93</f>
        <v>11686</v>
      </c>
      <c r="D73" s="46">
        <f>'Full Historical Statements'!F93</f>
        <v>14460</v>
      </c>
      <c r="E73" s="46">
        <f>'Full Historical Statements'!G93</f>
        <v>13861</v>
      </c>
      <c r="F73" s="46">
        <f>'Full Historical Statements'!H93</f>
        <v>22287</v>
      </c>
      <c r="G73" s="46">
        <f>'Full Historical Statements'!I93</f>
        <v>34153</v>
      </c>
      <c r="H73" s="135">
        <f>'Full Historical Statements'!J93</f>
        <v>25078.48</v>
      </c>
      <c r="I73" s="135">
        <f>'Full Historical Statements'!K93</f>
        <v>43382.703999999998</v>
      </c>
      <c r="J73" s="135">
        <f>'Full Historical Statements'!L93</f>
        <v>76029.74175999999</v>
      </c>
      <c r="K73" s="135">
        <f>'Full Historical Statements'!M93</f>
        <v>100750.2793024</v>
      </c>
      <c r="L73" s="135">
        <f>'Full Historical Statements'!N93</f>
        <v>109822.71463315201</v>
      </c>
    </row>
    <row r="74" spans="2:12">
      <c r="B74" s="157" t="s">
        <v>330</v>
      </c>
      <c r="C74" s="214">
        <f>C73/C8</f>
        <v>6.9523106943981727E-2</v>
      </c>
      <c r="D74" s="214">
        <f>D73/D8</f>
        <v>7.2930851868663937E-2</v>
      </c>
      <c r="E74" s="214">
        <f>E73/E8</f>
        <v>6.5408300497841118E-2</v>
      </c>
      <c r="F74" s="214">
        <f>F73/F8</f>
        <v>9.0922071458294243E-2</v>
      </c>
      <c r="G74" s="214">
        <f>G73/G8</f>
        <v>0.12122857832488534</v>
      </c>
      <c r="H74" s="215">
        <f>'Full Historical Statements'!J93/'Full Historical Statements'!J33</f>
        <v>7.7406873085159519E-2</v>
      </c>
      <c r="I74" s="215">
        <f>'Full Historical Statements'!K93/'Full Historical Statements'!K33</f>
        <v>0.11643863107087422</v>
      </c>
      <c r="J74" s="215">
        <f>'Full Historical Statements'!L93/'Full Historical Statements'!L33</f>
        <v>0.17744597320360425</v>
      </c>
      <c r="K74" s="215">
        <f>'Full Historical Statements'!M93/'Full Historical Statements'!M33</f>
        <v>0.20447068473240412</v>
      </c>
      <c r="L74" s="215">
        <f>'Full Historical Statements'!N93/'Full Historical Statements'!N33</f>
        <v>0.19381131434633275</v>
      </c>
    </row>
    <row r="75" spans="2:12">
      <c r="B75" s="5" t="s">
        <v>91</v>
      </c>
      <c r="C75" s="46">
        <f>'Full Historical Statements'!E94</f>
        <v>6118</v>
      </c>
      <c r="D75" s="46">
        <f>'Full Historical Statements'!F94</f>
        <v>7502</v>
      </c>
      <c r="E75" s="46">
        <f>'Full Historical Statements'!G94</f>
        <v>9611</v>
      </c>
      <c r="F75" s="46">
        <f>'Full Historical Statements'!H94</f>
        <v>10734</v>
      </c>
      <c r="G75" s="46">
        <f>'Full Historical Statements'!I94</f>
        <v>11974</v>
      </c>
      <c r="H75" s="135">
        <f>'Full Historical Statements'!J94</f>
        <v>12333.220000000001</v>
      </c>
      <c r="I75" s="135">
        <f>'Full Historical Statements'!K94</f>
        <v>12703.216600000002</v>
      </c>
      <c r="J75" s="135">
        <f>'Full Historical Statements'!L94</f>
        <v>13084.313098000002</v>
      </c>
      <c r="K75" s="135">
        <f>'Full Historical Statements'!M94</f>
        <v>13476.842490940002</v>
      </c>
      <c r="L75" s="135">
        <f>'Full Historical Statements'!N94</f>
        <v>13881.147765668202</v>
      </c>
    </row>
    <row r="76" spans="2:12">
      <c r="B76" s="208" t="s">
        <v>331</v>
      </c>
      <c r="C76" s="216">
        <f>C75/C8</f>
        <v>3.6397601256484696E-2</v>
      </c>
      <c r="D76" s="216">
        <f>D75/D8</f>
        <v>3.7837292580824126E-2</v>
      </c>
      <c r="E76" s="216">
        <f>E75/E8</f>
        <v>4.5353089682183892E-2</v>
      </c>
      <c r="F76" s="216">
        <f>F75/F8</f>
        <v>4.3790439046678793E-2</v>
      </c>
      <c r="G76" s="216">
        <f>G75/G8</f>
        <v>4.2502591188539135E-2</v>
      </c>
      <c r="H76" s="217">
        <f>'Full Historical Statements'!J94/'Full Historical Statements'!J33</f>
        <v>3.8067538194952448E-2</v>
      </c>
      <c r="I76" s="217">
        <f>'Full Historical Statements'!K94/'Full Historical Statements'!K33</f>
        <v>3.4095273339826981E-2</v>
      </c>
      <c r="J76" s="217">
        <f>'Full Historical Statements'!L94/'Full Historical Statements'!L33</f>
        <v>3.0537505686975476E-2</v>
      </c>
      <c r="K76" s="217">
        <f>'Full Historical Statements'!M94/'Full Historical Statements'!M33</f>
        <v>2.7350983354421515E-2</v>
      </c>
      <c r="L76" s="217">
        <f>'Full Historical Statements'!N94/'Full Historical Statements'!N33</f>
        <v>2.4496967700047095E-2</v>
      </c>
    </row>
    <row r="77" spans="2:12">
      <c r="B77" s="5" t="s">
        <v>92</v>
      </c>
      <c r="C77" s="46">
        <f>'Full Historical Statements'!E95</f>
        <v>-1249</v>
      </c>
      <c r="D77" s="46">
        <f>'Full Historical Statements'!F95</f>
        <v>-409</v>
      </c>
      <c r="E77" s="46">
        <f>'Full Historical Statements'!G95</f>
        <v>196</v>
      </c>
      <c r="F77" s="46">
        <f>'Full Historical Statements'!H95</f>
        <v>305</v>
      </c>
      <c r="G77" s="46">
        <f>'Full Historical Statements'!I95</f>
        <v>609</v>
      </c>
      <c r="H77" s="135">
        <f>'Full Historical Statements'!J95</f>
        <v>500</v>
      </c>
      <c r="I77" s="135">
        <f>'Full Historical Statements'!K95</f>
        <v>500</v>
      </c>
      <c r="J77" s="135">
        <f>'Full Historical Statements'!L95</f>
        <v>500</v>
      </c>
      <c r="K77" s="135">
        <f>'Full Historical Statements'!M95</f>
        <v>500</v>
      </c>
      <c r="L77" s="135">
        <f>'Full Historical Statements'!N95</f>
        <v>500</v>
      </c>
    </row>
    <row r="78" spans="2:12">
      <c r="B78" s="5" t="s">
        <v>156</v>
      </c>
      <c r="C78" s="46">
        <f>'Full Historical Statements'!E96</f>
        <v>-150</v>
      </c>
      <c r="D78" s="46">
        <f>'Full Historical Statements'!F96</f>
        <v>-5702</v>
      </c>
      <c r="E78" s="46">
        <f>'Full Historical Statements'!G96</f>
        <v>-6059</v>
      </c>
      <c r="F78" s="46">
        <f>'Full Historical Statements'!H96</f>
        <v>-4738</v>
      </c>
      <c r="G78" s="46">
        <f>'Full Historical Statements'!I96</f>
        <v>-7056</v>
      </c>
      <c r="H78" s="135">
        <f>'Full Historical Statements'!J96</f>
        <v>-5951</v>
      </c>
      <c r="I78" s="135">
        <f>'Full Historical Statements'!K96</f>
        <v>-5915</v>
      </c>
      <c r="J78" s="135">
        <f>'Full Historical Statements'!L96</f>
        <v>-6307.333333333333</v>
      </c>
      <c r="K78" s="135">
        <f>'Full Historical Statements'!M96</f>
        <v>-6057.7777777777774</v>
      </c>
      <c r="L78" s="135">
        <f>'Full Historical Statements'!N96</f>
        <v>-6093.3703703703695</v>
      </c>
    </row>
    <row r="79" spans="2:12">
      <c r="B79" s="5" t="s">
        <v>157</v>
      </c>
      <c r="C79" s="46">
        <f>'Full Historical Statements'!E97+'Full Historical Statements'!E98+'Full Historical Statements'!E99+'Full Historical Statements'!E100+'Full Historical Statements'!E101+'Full Historical Statements'!E102+'Full Historical Statements'!E103+'Full Historical Statements'!E104+'Full Historical Statements'!E105</f>
        <v>-936</v>
      </c>
      <c r="D79" s="46">
        <f>'Full Historical Statements'!F97+'Full Historical Statements'!F98+'Full Historical Statements'!F99+'Full Historical Statements'!F100+'Full Historical Statements'!F101+'Full Historical Statements'!F102+'Full Historical Statements'!F103+'Full Historical Statements'!F104+'Full Historical Statements'!F105</f>
        <v>446</v>
      </c>
      <c r="E79" s="46">
        <f>'Full Historical Statements'!G97+'Full Historical Statements'!G98+'Full Historical Statements'!G99+'Full Historical Statements'!G100+'Full Historical Statements'!G101+'Full Historical Statements'!G102+'Full Historical Statements'!G103+'Full Historical Statements'!G104+'Full Historical Statements'!G105</f>
        <v>-2388</v>
      </c>
      <c r="F79" s="46">
        <f>'Full Historical Statements'!H97+'Full Historical Statements'!H98+'Full Historical Statements'!H99+'Full Historical Statements'!H100+'Full Historical Statements'!H101+'Full Historical Statements'!H102+'Full Historical Statements'!H103+'Full Historical Statements'!H104+'Full Historical Statements'!H105</f>
        <v>1824</v>
      </c>
      <c r="G79" s="46">
        <f>'Full Historical Statements'!I97+'Full Historical Statements'!I98+'Full Historical Statements'!I99+'Full Historical Statements'!I100+'Full Historical Statements'!I101+'Full Historical Statements'!I102+'Full Historical Statements'!I103+'Full Historical Statements'!I104+'Full Historical Statements'!I105</f>
        <v>-5350</v>
      </c>
      <c r="H79" s="135">
        <f>SUM('Full Historical Statements'!J97:J105)</f>
        <v>-18264.763994520534</v>
      </c>
      <c r="I79" s="135">
        <f>SUM('Full Historical Statements'!K97:K105)</f>
        <v>-24327.936009771667</v>
      </c>
      <c r="J79" s="135">
        <f>SUM('Full Historical Statements'!L97:L105)</f>
        <v>-28641.411507101944</v>
      </c>
      <c r="K79" s="135">
        <f>SUM('Full Historical Statements'!M97:M105)</f>
        <v>-30748.28491630009</v>
      </c>
      <c r="L79" s="135">
        <f>SUM('Full Historical Statements'!N97:N105)</f>
        <v>-34370.741238484989</v>
      </c>
    </row>
    <row r="80" spans="2:12">
      <c r="B80" s="17" t="s">
        <v>103</v>
      </c>
      <c r="C80" s="210">
        <f>'Full Historical Statements'!E106</f>
        <v>76740</v>
      </c>
      <c r="D80" s="210">
        <f>'Full Historical Statements'!F106</f>
        <v>89035</v>
      </c>
      <c r="E80" s="210">
        <f>'Full Historical Statements'!G106</f>
        <v>87582</v>
      </c>
      <c r="F80" s="210">
        <f>'Full Historical Statements'!H106</f>
        <v>118548</v>
      </c>
      <c r="G80" s="210">
        <f>'Full Historical Statements'!I106</f>
        <v>136162</v>
      </c>
      <c r="H80" s="136">
        <f>'Full Historical Statements'!J106</f>
        <v>139271.13784765668</v>
      </c>
      <c r="I80" s="136">
        <f>'Full Historical Statements'!K106</f>
        <v>170543.17554977746</v>
      </c>
      <c r="J80" s="136">
        <f>'Full Historical Statements'!L106</f>
        <v>221336.7599189856</v>
      </c>
      <c r="K80" s="136">
        <f>'Full Historical Statements'!M106</f>
        <v>275490.05132672319</v>
      </c>
      <c r="L80" s="136">
        <f>'Full Historical Statements'!N106</f>
        <v>320580.25571707729</v>
      </c>
    </row>
    <row r="81" spans="2:12">
      <c r="B81" s="157" t="s">
        <v>332</v>
      </c>
      <c r="C81" s="214">
        <f>C80/C72</f>
        <v>1.2524685413980512</v>
      </c>
      <c r="D81" s="214">
        <f>D80/D72</f>
        <v>1.224050702521378</v>
      </c>
      <c r="E81" s="214">
        <f>E80/E72</f>
        <v>1.2103481156976825</v>
      </c>
      <c r="F81" s="214">
        <f>F80/F72</f>
        <v>1.3450576381955159</v>
      </c>
      <c r="G81" s="214">
        <f>G80/G72</f>
        <v>1.3371238903291696</v>
      </c>
      <c r="H81" s="215">
        <f>'Full Historical Statements'!J106/'Full Historical Statements'!J45</f>
        <v>1.1090656101249392</v>
      </c>
      <c r="I81" s="215">
        <f>'Full Historical Statements'!K106/'Full Historical Statements'!K45</f>
        <v>1.1826834237523172</v>
      </c>
      <c r="J81" s="215">
        <f>'Full Historical Statements'!L106/'Full Historical Statements'!L45</f>
        <v>1.3279824472031472</v>
      </c>
      <c r="K81" s="215">
        <f>'Full Historical Statements'!M106/'Full Historical Statements'!M45</f>
        <v>1.3943992335070055</v>
      </c>
      <c r="L81" s="215">
        <f>'Full Historical Statements'!N106/'Full Historical Statements'!N45</f>
        <v>1.3535702257337094</v>
      </c>
    </row>
    <row r="82" spans="2:12">
      <c r="B82" s="5" t="s">
        <v>113</v>
      </c>
      <c r="C82" s="46">
        <f>'Full Historical Statements'!E118</f>
        <v>-20622</v>
      </c>
      <c r="D82" s="46">
        <f>'Full Historical Statements'!F118</f>
        <v>-23886</v>
      </c>
      <c r="E82" s="46">
        <f>'Full Historical Statements'!G118</f>
        <v>-28107</v>
      </c>
      <c r="F82" s="46">
        <f>'Full Historical Statements'!H118</f>
        <v>-44477</v>
      </c>
      <c r="G82" s="46">
        <f>'Full Historical Statements'!I118</f>
        <v>-64551</v>
      </c>
      <c r="H82" s="135">
        <f>'Full Historical Statements'!J118</f>
        <v>-110000</v>
      </c>
      <c r="I82" s="135">
        <f>'Full Historical Statements'!K118</f>
        <v>-150000</v>
      </c>
      <c r="J82" s="135">
        <f>'Full Historical Statements'!L118</f>
        <v>-140000</v>
      </c>
      <c r="K82" s="135">
        <f>'Full Historical Statements'!M118</f>
        <v>-120000</v>
      </c>
      <c r="L82" s="135">
        <f>'Full Historical Statements'!N118</f>
        <v>-130000</v>
      </c>
    </row>
    <row r="83" spans="2:12">
      <c r="B83" s="157" t="s">
        <v>333</v>
      </c>
      <c r="C83" s="214">
        <f>-C82/C8</f>
        <v>0.12268573604302509</v>
      </c>
      <c r="D83" s="214">
        <f>-D82/D8</f>
        <v>0.12047208352246935</v>
      </c>
      <c r="E83" s="214">
        <f>-E82/E8</f>
        <v>0.13263336715192411</v>
      </c>
      <c r="F83" s="214">
        <f>-F82/F8</f>
        <v>0.18144842160230415</v>
      </c>
      <c r="G83" s="214">
        <f>-G82/G8</f>
        <v>0.22912850875324786</v>
      </c>
      <c r="H83" s="215">
        <f>'Full Historical Statements'!J24</f>
        <v>0.33952440655763616</v>
      </c>
      <c r="I83" s="215">
        <f>'Full Historical Statements'!K24</f>
        <v>0.4025981105426516</v>
      </c>
      <c r="J83" s="215">
        <f>'Full Historical Statements'!L24</f>
        <v>0.32674629261432597</v>
      </c>
      <c r="K83" s="215">
        <f>'Full Historical Statements'!M24</f>
        <v>0.2435376094019821</v>
      </c>
      <c r="L83" s="215">
        <f>'Full Historical Statements'!N24</f>
        <v>0.22941948711780924</v>
      </c>
    </row>
    <row r="84" spans="2:12">
      <c r="B84" s="5" t="s">
        <v>158</v>
      </c>
      <c r="C84" s="46">
        <f>'Full Historical Statements'!E119</f>
        <v>-8909</v>
      </c>
      <c r="D84" s="46">
        <f>'Full Historical Statements'!F119</f>
        <v>-22038</v>
      </c>
      <c r="E84" s="46">
        <f>'Full Historical Statements'!G119</f>
        <v>-1670</v>
      </c>
      <c r="F84" s="46">
        <f>'Full Historical Statements'!H119</f>
        <v>-69132</v>
      </c>
      <c r="G84" s="46">
        <f>'Full Historical Statements'!I119</f>
        <v>-5978</v>
      </c>
      <c r="H84" s="135">
        <f>'Full Historical Statements'!J119</f>
        <v>-10000</v>
      </c>
      <c r="I84" s="135">
        <f>'Full Historical Statements'!K119</f>
        <v>-10000</v>
      </c>
      <c r="J84" s="135">
        <f>'Full Historical Statements'!L119</f>
        <v>-30000</v>
      </c>
      <c r="K84" s="135">
        <f>'Full Historical Statements'!M119</f>
        <v>-50000</v>
      </c>
      <c r="L84" s="135">
        <f>'Full Historical Statements'!N119</f>
        <v>-80000</v>
      </c>
    </row>
    <row r="85" spans="2:12">
      <c r="B85" s="5" t="s">
        <v>115</v>
      </c>
      <c r="C85" s="46">
        <f>'Full Historical Statements'!E120</f>
        <v>-62924</v>
      </c>
      <c r="D85" s="46">
        <f>'Full Historical Statements'!F120</f>
        <v>-26456</v>
      </c>
      <c r="E85" s="46">
        <f>'Full Historical Statements'!G120</f>
        <v>-37651</v>
      </c>
      <c r="F85" s="46">
        <f>'Full Historical Statements'!H120</f>
        <v>-17732</v>
      </c>
      <c r="G85" s="46">
        <f>'Full Historical Statements'!I120</f>
        <v>-29775</v>
      </c>
      <c r="H85" s="135">
        <f>'Full Historical Statements'!J120</f>
        <v>-23753.5</v>
      </c>
      <c r="I85" s="135">
        <f>'Full Historical Statements'!K120</f>
        <v>-10000</v>
      </c>
      <c r="J85" s="135">
        <f>'Full Historical Statements'!L120</f>
        <v>-35000</v>
      </c>
      <c r="K85" s="135">
        <f>'Full Historical Statements'!M120</f>
        <v>-80000</v>
      </c>
      <c r="L85" s="135">
        <f>'Full Historical Statements'!N120</f>
        <v>-100000</v>
      </c>
    </row>
    <row r="86" spans="2:12">
      <c r="B86" s="5" t="s">
        <v>116</v>
      </c>
      <c r="C86" s="46">
        <f>'Full Historical Statements'!E121</f>
        <v>51792</v>
      </c>
      <c r="D86" s="46">
        <f>'Full Historical Statements'!F121</f>
        <v>16451</v>
      </c>
      <c r="E86" s="46">
        <f>'Full Historical Statements'!G121</f>
        <v>33510</v>
      </c>
      <c r="F86" s="46">
        <f>'Full Historical Statements'!H121</f>
        <v>24775</v>
      </c>
      <c r="G86" s="46">
        <f>'Full Historical Statements'!I121</f>
        <v>16079</v>
      </c>
      <c r="H86" s="135">
        <f>'Full Historical Statements'!J121</f>
        <v>24788</v>
      </c>
      <c r="I86" s="135">
        <f>'Full Historical Statements'!K121</f>
        <v>21880.666666666668</v>
      </c>
      <c r="J86" s="135">
        <f>'Full Historical Statements'!L121</f>
        <v>20915.888888888891</v>
      </c>
      <c r="K86" s="135">
        <f>'Full Historical Statements'!M121</f>
        <v>22528.185185185186</v>
      </c>
      <c r="L86" s="135">
        <f>'Full Historical Statements'!N121</f>
        <v>21774.913580246914</v>
      </c>
    </row>
    <row r="87" spans="2:12">
      <c r="B87" s="5" t="s">
        <v>117</v>
      </c>
      <c r="C87" s="46">
        <f>'Full Historical Statements'!E122</f>
        <v>14008</v>
      </c>
      <c r="D87" s="46">
        <f>'Full Historical Statements'!F122</f>
        <v>28443</v>
      </c>
      <c r="E87" s="46">
        <f>'Full Historical Statements'!G122</f>
        <v>14354</v>
      </c>
      <c r="F87" s="46">
        <f>'Full Historical Statements'!H122</f>
        <v>10894</v>
      </c>
      <c r="G87" s="46">
        <f>'Full Historical Statements'!I122</f>
        <v>9309</v>
      </c>
      <c r="H87" s="135">
        <f>'Full Historical Statements'!J122</f>
        <v>11519</v>
      </c>
      <c r="I87" s="135">
        <f>'Full Historical Statements'!K122</f>
        <v>10574</v>
      </c>
      <c r="J87" s="135">
        <f>'Full Historical Statements'!L122</f>
        <v>10467.333333333334</v>
      </c>
      <c r="K87" s="135">
        <f>'Full Historical Statements'!M122</f>
        <v>10853.444444444445</v>
      </c>
      <c r="L87" s="135">
        <f>'Full Historical Statements'!N122</f>
        <v>10631.592592592593</v>
      </c>
    </row>
    <row r="88" spans="2:12">
      <c r="B88" s="5" t="s">
        <v>118</v>
      </c>
      <c r="C88" s="46">
        <f>'Full Historical Statements'!E123</f>
        <v>-922</v>
      </c>
      <c r="D88" s="46">
        <f>'Full Historical Statements'!F123</f>
        <v>-2825</v>
      </c>
      <c r="E88" s="46">
        <f>'Full Historical Statements'!G123</f>
        <v>-3116</v>
      </c>
      <c r="F88" s="46">
        <f>'Full Historical Statements'!H123</f>
        <v>-1298</v>
      </c>
      <c r="G88" s="46">
        <f>'Full Historical Statements'!I123</f>
        <v>2317</v>
      </c>
      <c r="H88" s="135">
        <f>'Full Historical Statements'!J123</f>
        <v>-2432.85</v>
      </c>
      <c r="I88" s="135">
        <f>'Full Historical Statements'!K123</f>
        <v>-2554.4924999999998</v>
      </c>
      <c r="J88" s="135">
        <f>'Full Historical Statements'!L123</f>
        <v>-2682.2171250000001</v>
      </c>
      <c r="K88" s="135">
        <f>'Full Historical Statements'!M123</f>
        <v>-2816.3279812500004</v>
      </c>
      <c r="L88" s="135">
        <f>'Full Historical Statements'!N123</f>
        <v>-2957.1443803125007</v>
      </c>
    </row>
    <row r="89" spans="2:12">
      <c r="B89" s="17" t="s">
        <v>119</v>
      </c>
      <c r="C89" s="210">
        <f>'Full Historical Statements'!E124</f>
        <v>-27577</v>
      </c>
      <c r="D89" s="210">
        <f>'Full Historical Statements'!F124</f>
        <v>-30311</v>
      </c>
      <c r="E89" s="210">
        <f>'Full Historical Statements'!G124</f>
        <v>-22680</v>
      </c>
      <c r="F89" s="210">
        <f>'Full Historical Statements'!H124</f>
        <v>-96970</v>
      </c>
      <c r="G89" s="210">
        <f>'Full Historical Statements'!I124</f>
        <v>-72599</v>
      </c>
      <c r="H89" s="136">
        <f>'Full Historical Statements'!J124</f>
        <v>-109879.35</v>
      </c>
      <c r="I89" s="136">
        <f>'Full Historical Statements'!K124</f>
        <v>-140099.82583333334</v>
      </c>
      <c r="J89" s="136">
        <f>'Full Historical Statements'!L124</f>
        <v>-176298.99490277778</v>
      </c>
      <c r="K89" s="136">
        <f>'Full Historical Statements'!M124</f>
        <v>-219434.69835162038</v>
      </c>
      <c r="L89" s="136">
        <f>'Full Historical Statements'!N124</f>
        <v>-280550.63820747304</v>
      </c>
    </row>
    <row r="90" spans="2:12">
      <c r="B90" s="5" t="s">
        <v>159</v>
      </c>
      <c r="C90" s="46">
        <f>'Full Historical Statements'!E108+'Full Historical Statements'!E109+'Full Historical Statements'!E110+'Full Historical Statements'!E111</f>
        <v>-5504</v>
      </c>
      <c r="D90" s="46">
        <f>'Full Historical Statements'!F108+'Full Historical Statements'!F109+'Full Historical Statements'!F110+'Full Historical Statements'!F111</f>
        <v>-9023</v>
      </c>
      <c r="E90" s="46">
        <f>'Full Historical Statements'!G108+'Full Historical Statements'!G109+'Full Historical Statements'!G110+'Full Historical Statements'!G111</f>
        <v>-2750</v>
      </c>
      <c r="F90" s="46">
        <f>'Full Historical Statements'!H108+'Full Historical Statements'!H109+'Full Historical Statements'!H110+'Full Historical Statements'!H111</f>
        <v>575</v>
      </c>
      <c r="G90" s="46">
        <f>'Full Historical Statements'!I108+'Full Historical Statements'!I109+'Full Historical Statements'!I110+'Full Historical Statements'!I111</f>
        <v>-8962</v>
      </c>
      <c r="H90" s="135">
        <f>'Full Historical Statements'!J109+'Full Historical Statements'!J110-'Full Historical Statements'!J111</f>
        <v>5000</v>
      </c>
      <c r="I90" s="135">
        <f>'Full Historical Statements'!K109+'Full Historical Statements'!K110-'Full Historical Statements'!K111</f>
        <v>10000</v>
      </c>
      <c r="J90" s="135">
        <f>'Full Historical Statements'!L109+'Full Historical Statements'!L110-'Full Historical Statements'!L111</f>
        <v>-5000</v>
      </c>
      <c r="K90" s="135">
        <f>'Full Historical Statements'!M109+'Full Historical Statements'!M110-'Full Historical Statements'!M111</f>
        <v>-9000</v>
      </c>
      <c r="L90" s="135">
        <f>'Full Historical Statements'!N109+'Full Historical Statements'!N110-'Full Historical Statements'!N111</f>
        <v>11000</v>
      </c>
    </row>
    <row r="91" spans="2:12">
      <c r="B91" s="5" t="s">
        <v>108</v>
      </c>
      <c r="C91" s="46">
        <f>'Full Historical Statements'!E112</f>
        <v>1693</v>
      </c>
      <c r="D91" s="46">
        <f>'Full Historical Statements'!F112</f>
        <v>1841</v>
      </c>
      <c r="E91" s="46">
        <f>'Full Historical Statements'!G112</f>
        <v>1866</v>
      </c>
      <c r="F91" s="46">
        <f>'Full Historical Statements'!H112</f>
        <v>2002</v>
      </c>
      <c r="G91" s="46">
        <f>'Full Historical Statements'!I112</f>
        <v>2056</v>
      </c>
      <c r="H91" s="135">
        <f>'Full Historical Statements'!J112</f>
        <v>2000</v>
      </c>
      <c r="I91" s="135">
        <f>'Full Historical Statements'!K112</f>
        <v>2000</v>
      </c>
      <c r="J91" s="135">
        <f>'Full Historical Statements'!L112</f>
        <v>2000</v>
      </c>
      <c r="K91" s="135">
        <f>'Full Historical Statements'!M112</f>
        <v>2000</v>
      </c>
      <c r="L91" s="135">
        <f>'Full Historical Statements'!N112</f>
        <v>2000</v>
      </c>
    </row>
    <row r="92" spans="2:12">
      <c r="B92" s="5" t="s">
        <v>109</v>
      </c>
      <c r="C92" s="46">
        <f>'Full Historical Statements'!E113</f>
        <v>-27385</v>
      </c>
      <c r="D92" s="46">
        <f>'Full Historical Statements'!F113</f>
        <v>-32696</v>
      </c>
      <c r="E92" s="46">
        <f>'Full Historical Statements'!G113</f>
        <v>-22245</v>
      </c>
      <c r="F92" s="46">
        <f>'Full Historical Statements'!H113</f>
        <v>-17254</v>
      </c>
      <c r="G92" s="46">
        <f>'Full Historical Statements'!I113</f>
        <v>-18420</v>
      </c>
      <c r="H92" s="135">
        <f>'Full Historical Statements'!J113</f>
        <v>-15000</v>
      </c>
      <c r="I92" s="135">
        <f>'Full Historical Statements'!K113</f>
        <v>-15000</v>
      </c>
      <c r="J92" s="135">
        <f>'Full Historical Statements'!L113</f>
        <v>-15000</v>
      </c>
      <c r="K92" s="135">
        <f>'Full Historical Statements'!M113</f>
        <v>-15000</v>
      </c>
      <c r="L92" s="135">
        <f>'Full Historical Statements'!N113</f>
        <v>-15000</v>
      </c>
    </row>
    <row r="93" spans="2:12">
      <c r="B93" s="5" t="s">
        <v>110</v>
      </c>
      <c r="C93" s="46">
        <f>'Full Historical Statements'!E114</f>
        <v>-16521</v>
      </c>
      <c r="D93" s="46">
        <f>'Full Historical Statements'!F114</f>
        <v>-18135</v>
      </c>
      <c r="E93" s="46">
        <f>'Full Historical Statements'!G114</f>
        <v>-19800</v>
      </c>
      <c r="F93" s="46">
        <f>'Full Historical Statements'!H114</f>
        <v>-21771</v>
      </c>
      <c r="G93" s="46">
        <f>'Full Historical Statements'!I114</f>
        <v>-24082</v>
      </c>
      <c r="H93" s="135">
        <f>'Full Historical Statements'!J114</f>
        <v>-26249.38</v>
      </c>
      <c r="I93" s="135">
        <f>'Full Historical Statements'!K114</f>
        <v>-28611.824200000003</v>
      </c>
      <c r="J93" s="135">
        <f>'Full Historical Statements'!L114</f>
        <v>-31186.888378000007</v>
      </c>
      <c r="K93" s="135">
        <f>'Full Historical Statements'!M114</f>
        <v>-33993.708332020011</v>
      </c>
      <c r="L93" s="135">
        <f>'Full Historical Statements'!N114</f>
        <v>-37053.142081901817</v>
      </c>
    </row>
    <row r="94" spans="2:12">
      <c r="B94" s="5" t="s">
        <v>111</v>
      </c>
      <c r="C94" s="46">
        <f>'Full Historical Statements'!E115</f>
        <v>-769</v>
      </c>
      <c r="D94" s="46">
        <f>'Full Historical Statements'!F115</f>
        <v>-863</v>
      </c>
      <c r="E94" s="46">
        <f>'Full Historical Statements'!G115</f>
        <v>-1006</v>
      </c>
      <c r="F94" s="46">
        <f>'Full Historical Statements'!H115</f>
        <v>-1309</v>
      </c>
      <c r="G94" s="46">
        <f>'Full Historical Statements'!I115</f>
        <v>-2291</v>
      </c>
      <c r="H94" s="135">
        <f>'Full Historical Statements'!J115</f>
        <v>-1500</v>
      </c>
      <c r="I94" s="135">
        <f>'Full Historical Statements'!K115</f>
        <v>-1500</v>
      </c>
      <c r="J94" s="135">
        <f>'Full Historical Statements'!L115</f>
        <v>-1500</v>
      </c>
      <c r="K94" s="135">
        <f>'Full Historical Statements'!M115</f>
        <v>-1500</v>
      </c>
      <c r="L94" s="135">
        <f>'Full Historical Statements'!N115</f>
        <v>-1500</v>
      </c>
    </row>
    <row r="95" spans="2:12">
      <c r="B95" s="17" t="s">
        <v>112</v>
      </c>
      <c r="C95" s="210">
        <f>'Full Historical Statements'!E116</f>
        <v>-48486</v>
      </c>
      <c r="D95" s="210">
        <f>'Full Historical Statements'!F116</f>
        <v>-58876</v>
      </c>
      <c r="E95" s="210">
        <f>'Full Historical Statements'!G116</f>
        <v>-43935</v>
      </c>
      <c r="F95" s="210">
        <f>'Full Historical Statements'!H116</f>
        <v>-37757</v>
      </c>
      <c r="G95" s="210">
        <f>'Full Historical Statements'!I116</f>
        <v>-51699</v>
      </c>
      <c r="H95" s="136">
        <f>'Full Historical Statements'!J116</f>
        <v>-15749.380000000001</v>
      </c>
      <c r="I95" s="136">
        <f>'Full Historical Statements'!K116</f>
        <v>-29111.824200000003</v>
      </c>
      <c r="J95" s="136">
        <f>'Full Historical Statements'!L116</f>
        <v>-40686.888378000003</v>
      </c>
      <c r="K95" s="136">
        <f>'Full Historical Statements'!M116</f>
        <v>-39493.708332020011</v>
      </c>
      <c r="L95" s="136">
        <f>'Full Historical Statements'!N116</f>
        <v>-36553.142081901817</v>
      </c>
    </row>
    <row r="96" spans="2:12">
      <c r="B96" s="5" t="s">
        <v>160</v>
      </c>
      <c r="C96" s="46">
        <f>'Full Historical Statements'!E125</f>
        <v>-29</v>
      </c>
      <c r="D96" s="46">
        <f>'Full Historical Statements'!F125</f>
        <v>-141</v>
      </c>
      <c r="E96" s="46">
        <f>'Full Historical Statements'!G125</f>
        <v>-194</v>
      </c>
      <c r="F96" s="46">
        <f>'Full Historical Statements'!H125</f>
        <v>-210</v>
      </c>
      <c r="G96" s="46">
        <f>'Full Historical Statements'!I125</f>
        <v>63</v>
      </c>
      <c r="H96" s="135">
        <f>'Full Historical Statements'!J125</f>
        <v>-113.66666666666667</v>
      </c>
      <c r="I96" s="135">
        <f>'Full Historical Statements'!K125</f>
        <v>-86.8888888888889</v>
      </c>
      <c r="J96" s="135">
        <f>'Full Historical Statements'!L125</f>
        <v>-45.851851851851855</v>
      </c>
      <c r="K96" s="135">
        <f>'Full Historical Statements'!M125</f>
        <v>-82.135802469135811</v>
      </c>
      <c r="L96" s="135">
        <f>'Full Historical Statements'!N125</f>
        <v>-71.625514403292186</v>
      </c>
    </row>
    <row r="97" spans="2:12">
      <c r="B97" s="5" t="s">
        <v>161</v>
      </c>
      <c r="C97" s="46">
        <f>'Full Historical Statements'!E126</f>
        <v>648</v>
      </c>
      <c r="D97" s="46">
        <f>'Full Historical Statements'!F126</f>
        <v>-293</v>
      </c>
      <c r="E97" s="46">
        <f>'Full Historical Statements'!G126</f>
        <v>20773</v>
      </c>
      <c r="F97" s="46">
        <f>'Full Historical Statements'!H126</f>
        <v>-16389</v>
      </c>
      <c r="G97" s="46">
        <f>'Full Historical Statements'!I126</f>
        <v>11927</v>
      </c>
      <c r="H97" s="135">
        <f>'Full Historical Statements'!J126</f>
        <v>13528.741180989999</v>
      </c>
      <c r="I97" s="135">
        <f>'Full Historical Statements'!K126</f>
        <v>1244.6366275552298</v>
      </c>
      <c r="J97" s="135">
        <f>'Full Historical Statements'!L126</f>
        <v>4305.0247863559653</v>
      </c>
      <c r="K97" s="135">
        <f>'Full Historical Statements'!M126</f>
        <v>16479.508840613671</v>
      </c>
      <c r="L97" s="135">
        <f>'Full Historical Statements'!N126</f>
        <v>3404.8499132991265</v>
      </c>
    </row>
    <row r="98" spans="2:12">
      <c r="B98" s="5" t="s">
        <v>162</v>
      </c>
      <c r="C98" s="46">
        <f>'Full Historical Statements'!E127</f>
        <v>13576</v>
      </c>
      <c r="D98" s="46">
        <f>'Full Historical Statements'!F127</f>
        <v>14224</v>
      </c>
      <c r="E98" s="46">
        <f>'Full Historical Statements'!G127</f>
        <v>13931</v>
      </c>
      <c r="F98" s="46">
        <f>'Full Historical Statements'!H127</f>
        <v>34704</v>
      </c>
      <c r="G98" s="46">
        <f>'Full Historical Statements'!I127</f>
        <v>18315</v>
      </c>
      <c r="H98" s="135">
        <f>'Full Historical Statements'!J127</f>
        <v>30242</v>
      </c>
      <c r="I98" s="135">
        <f>'Full Historical Statements'!K127</f>
        <v>43770.74118099</v>
      </c>
      <c r="J98" s="135">
        <f>'Full Historical Statements'!L127</f>
        <v>45015.377808545229</v>
      </c>
      <c r="K98" s="135">
        <f>'Full Historical Statements'!M127</f>
        <v>49320.402594901192</v>
      </c>
      <c r="L98" s="135">
        <f>'Full Historical Statements'!N127</f>
        <v>65799.911435514863</v>
      </c>
    </row>
    <row r="99" spans="2:12">
      <c r="B99" s="17" t="s">
        <v>163</v>
      </c>
      <c r="C99" s="210">
        <f>'Full Historical Statements'!E128</f>
        <v>14224</v>
      </c>
      <c r="D99" s="210">
        <f>'Full Historical Statements'!F128</f>
        <v>13931</v>
      </c>
      <c r="E99" s="210">
        <f>'Full Historical Statements'!G128</f>
        <v>34704</v>
      </c>
      <c r="F99" s="210">
        <f>'Full Historical Statements'!H128</f>
        <v>18315</v>
      </c>
      <c r="G99" s="210">
        <f>'Full Historical Statements'!I128</f>
        <v>30242</v>
      </c>
      <c r="H99" s="136">
        <f>'Full Historical Statements'!J128</f>
        <v>43770.74118099</v>
      </c>
      <c r="I99" s="136">
        <f>'Full Historical Statements'!K128</f>
        <v>45015.377808545229</v>
      </c>
      <c r="J99" s="136">
        <f>'Full Historical Statements'!L128</f>
        <v>49320.402594901192</v>
      </c>
      <c r="K99" s="136">
        <f>'Full Historical Statements'!M128</f>
        <v>65799.911435514863</v>
      </c>
      <c r="L99" s="136">
        <f>'Full Historical Statements'!N128</f>
        <v>69204.76134881399</v>
      </c>
    </row>
    <row r="100" spans="2:12">
      <c r="B100" s="20" t="s">
        <v>164</v>
      </c>
      <c r="C100" s="213">
        <f>'Full Historical Statements'!E129</f>
        <v>0</v>
      </c>
      <c r="D100" s="213">
        <f>'Full Historical Statements'!F129</f>
        <v>0</v>
      </c>
      <c r="E100" s="213">
        <f>'Full Historical Statements'!G129</f>
        <v>0</v>
      </c>
      <c r="F100" s="213">
        <f>'Full Historical Statements'!H129</f>
        <v>0</v>
      </c>
      <c r="G100" s="213">
        <f>'Full Historical Statements'!I129</f>
        <v>0</v>
      </c>
      <c r="H100" s="136">
        <f>'Full Historical Statements'!J129</f>
        <v>0</v>
      </c>
      <c r="I100" s="136">
        <f>'Full Historical Statements'!K129</f>
        <v>0</v>
      </c>
      <c r="J100" s="136">
        <f>'Full Historical Statements'!L129</f>
        <v>0</v>
      </c>
      <c r="K100" s="136">
        <f>'Full Historical Statements'!M129</f>
        <v>0</v>
      </c>
      <c r="L100" s="136">
        <f>'Full Historical Statements'!N129</f>
        <v>0</v>
      </c>
    </row>
    <row r="101" spans="2:12">
      <c r="C101" s="10"/>
      <c r="D101" s="10"/>
      <c r="E101" s="10"/>
      <c r="F101" s="10"/>
      <c r="G101" s="10"/>
      <c r="H101" s="134"/>
      <c r="I101" s="134"/>
      <c r="J101" s="134"/>
      <c r="K101" s="134"/>
      <c r="L101" s="134"/>
    </row>
  </sheetData>
  <mergeCells count="5">
    <mergeCell ref="B2:L2"/>
    <mergeCell ref="B3:L3"/>
    <mergeCell ref="B7:L7"/>
    <mergeCell ref="B31:L31"/>
    <mergeCell ref="B71:L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50"/>
  <sheetViews>
    <sheetView showGridLines="0" topLeftCell="A14" workbookViewId="0">
      <selection activeCell="D30" sqref="D30"/>
    </sheetView>
  </sheetViews>
  <sheetFormatPr baseColWidth="10" defaultRowHeight="16"/>
  <cols>
    <col min="1" max="1" width="5" style="113" customWidth="1"/>
    <col min="2" max="2" width="21.83203125" style="113" bestFit="1" customWidth="1"/>
    <col min="3" max="3" width="10.83203125" style="113"/>
    <col min="4" max="5" width="15" style="113" customWidth="1"/>
    <col min="6" max="8" width="16.6640625" style="113" customWidth="1"/>
    <col min="9" max="16384" width="10.83203125" style="113"/>
  </cols>
  <sheetData>
    <row r="2" spans="2:8" ht="18">
      <c r="B2" s="161"/>
      <c r="C2" s="161"/>
      <c r="D2" s="167">
        <v>2021</v>
      </c>
      <c r="E2" s="167">
        <v>2022</v>
      </c>
      <c r="F2" s="167">
        <v>2023</v>
      </c>
      <c r="G2" s="167">
        <v>2024</v>
      </c>
      <c r="H2" s="167">
        <v>2025</v>
      </c>
    </row>
    <row r="3" spans="2:8" ht="18">
      <c r="B3" s="153" t="s">
        <v>300</v>
      </c>
      <c r="C3" s="153"/>
      <c r="D3" s="153"/>
      <c r="E3" s="153"/>
      <c r="F3" s="153"/>
      <c r="G3" s="153"/>
      <c r="H3" s="153"/>
    </row>
    <row r="4" spans="2:8">
      <c r="B4" s="113" t="s">
        <v>165</v>
      </c>
      <c r="D4" s="147">
        <f>('Full Historical Statements'!E33-'Full Historical Statements'!E36)/'Full Historical Statements'!E33</f>
        <v>0.68925800771024703</v>
      </c>
      <c r="E4" s="147">
        <f>('Full Historical Statements'!F33-'Full Historical Statements'!F36)/'Full Historical Statements'!F33</f>
        <v>0.68401674484289099</v>
      </c>
      <c r="F4" s="147">
        <f>('Full Historical Statements'!G33-'Full Historical Statements'!G36)/'Full Historical Statements'!G33</f>
        <v>0.68920085883491022</v>
      </c>
      <c r="G4" s="147">
        <f>('Full Historical Statements'!H33-'Full Historical Statements'!H36)/'Full Historical Statements'!H33</f>
        <v>0.69764443827971379</v>
      </c>
      <c r="H4" s="147">
        <f>('Full Historical Statements'!I33-'Full Historical Statements'!I36)/'Full Historical Statements'!I33</f>
        <v>0.68823742386165188</v>
      </c>
    </row>
    <row r="5" spans="2:8">
      <c r="B5" s="113" t="s">
        <v>166</v>
      </c>
      <c r="D5" s="147">
        <f>'Full Historical Statements'!E41/'Full Historical Statements'!E33</f>
        <v>0.41594878872971303</v>
      </c>
      <c r="E5" s="147">
        <f>'Full Historical Statements'!F41/'Full Historical Statements'!F33</f>
        <v>0.4205527815604983</v>
      </c>
      <c r="F5" s="147">
        <f>'Full Historical Statements'!G41/'Full Historical Statements'!G33</f>
        <v>0.41772880636104098</v>
      </c>
      <c r="G5" s="147">
        <f>'Full Historical Statements'!H41/'Full Historical Statements'!H33</f>
        <v>0.44644299573273716</v>
      </c>
      <c r="H5" s="147">
        <f>'Full Historical Statements'!I41/'Full Historical Statements'!I33</f>
        <v>0.45621956240859851</v>
      </c>
    </row>
    <row r="6" spans="2:8">
      <c r="B6" s="113" t="s">
        <v>167</v>
      </c>
      <c r="D6" s="147">
        <f>'Full Historical Statements'!E45/'Full Historical Statements'!E33</f>
        <v>0.36451739564989766</v>
      </c>
      <c r="E6" s="147">
        <f>'Full Historical Statements'!F45/'Full Historical Statements'!F33</f>
        <v>0.36686336813436221</v>
      </c>
      <c r="F6" s="147">
        <f>'Full Historical Statements'!G45/'Full Historical Statements'!G33</f>
        <v>0.34146237878394642</v>
      </c>
      <c r="G6" s="147">
        <f>'Full Historical Statements'!H45/'Full Historical Statements'!H33</f>
        <v>0.35955972944084985</v>
      </c>
      <c r="H6" s="147">
        <f>'Full Historical Statements'!I45/'Full Historical Statements'!I33</f>
        <v>0.36146015248967073</v>
      </c>
    </row>
    <row r="7" spans="2:8">
      <c r="D7" s="147"/>
      <c r="E7" s="147"/>
      <c r="F7" s="147"/>
      <c r="G7" s="147"/>
      <c r="H7" s="147"/>
    </row>
    <row r="8" spans="2:8" ht="18">
      <c r="B8" s="154" t="s">
        <v>301</v>
      </c>
      <c r="C8" s="154"/>
      <c r="D8" s="154"/>
      <c r="E8" s="154"/>
      <c r="F8" s="154"/>
      <c r="G8" s="154"/>
      <c r="H8" s="154"/>
    </row>
    <row r="9" spans="2:8">
      <c r="B9" s="113" t="s">
        <v>168</v>
      </c>
      <c r="D9" s="149">
        <f>'Full Historical Statements'!E106</f>
        <v>76740</v>
      </c>
      <c r="E9" s="149">
        <f>'Full Historical Statements'!F41</f>
        <v>83383</v>
      </c>
      <c r="F9" s="149">
        <f>'Full Historical Statements'!G41</f>
        <v>88523</v>
      </c>
      <c r="G9" s="149">
        <f>'Full Historical Statements'!H41</f>
        <v>109433</v>
      </c>
      <c r="H9" s="149">
        <f>'Full Historical Statements'!I41</f>
        <v>128528</v>
      </c>
    </row>
    <row r="10" spans="2:8">
      <c r="B10" s="113" t="s">
        <v>169</v>
      </c>
      <c r="D10" s="149">
        <f>-'Full Historical Statements'!E118</f>
        <v>20622</v>
      </c>
      <c r="E10" s="149">
        <f>-'Full Historical Statements'!F118</f>
        <v>23886</v>
      </c>
      <c r="F10" s="149">
        <f>-'Full Historical Statements'!G118</f>
        <v>28107</v>
      </c>
      <c r="G10" s="149">
        <f>-'Full Historical Statements'!H118</f>
        <v>44477</v>
      </c>
      <c r="H10" s="149">
        <f>-'Full Historical Statements'!I118</f>
        <v>64551</v>
      </c>
    </row>
    <row r="11" spans="2:8">
      <c r="B11" s="96" t="s">
        <v>170</v>
      </c>
      <c r="C11" s="96"/>
      <c r="D11" s="160">
        <f>D9-D10</f>
        <v>56118</v>
      </c>
      <c r="E11" s="160">
        <f>E9-E10</f>
        <v>59497</v>
      </c>
      <c r="F11" s="160">
        <f>F9-F10</f>
        <v>60416</v>
      </c>
      <c r="G11" s="160">
        <f>G9-G10</f>
        <v>64956</v>
      </c>
      <c r="H11" s="160">
        <f>H9-H10</f>
        <v>63977</v>
      </c>
    </row>
    <row r="12" spans="2:8">
      <c r="B12" s="157" t="s">
        <v>302</v>
      </c>
      <c r="E12" s="148">
        <f>E11/D11-1</f>
        <v>6.0212409565558289E-2</v>
      </c>
      <c r="F12" s="148">
        <f t="shared" ref="F12:H12" si="0">F11/E11-1</f>
        <v>1.5446156949089795E-2</v>
      </c>
      <c r="G12" s="148">
        <f t="shared" si="0"/>
        <v>7.5145656779661119E-2</v>
      </c>
      <c r="H12" s="148">
        <f t="shared" si="0"/>
        <v>-1.5071740870743255E-2</v>
      </c>
    </row>
    <row r="14" spans="2:8" ht="18">
      <c r="B14" s="154" t="s">
        <v>303</v>
      </c>
      <c r="C14" s="154"/>
      <c r="D14" s="154"/>
      <c r="E14" s="154"/>
      <c r="F14" s="154"/>
      <c r="G14" s="154"/>
      <c r="H14" s="154"/>
    </row>
    <row r="15" spans="2:8">
      <c r="B15" s="113" t="s">
        <v>171</v>
      </c>
      <c r="D15" s="149">
        <f>'Full Historical Statements'!E41</f>
        <v>69916</v>
      </c>
      <c r="E15" s="149">
        <f>'Full Historical Statements'!F41</f>
        <v>83383</v>
      </c>
      <c r="F15" s="149">
        <f>'Full Historical Statements'!G41</f>
        <v>88523</v>
      </c>
      <c r="G15" s="149">
        <f>'Full Historical Statements'!H41</f>
        <v>109433</v>
      </c>
      <c r="H15" s="149">
        <f>'Full Historical Statements'!I41</f>
        <v>128528</v>
      </c>
    </row>
    <row r="16" spans="2:8">
      <c r="B16" s="113" t="s">
        <v>172</v>
      </c>
      <c r="D16" s="147">
        <f>1-'Full Historical Statements'!E17</f>
        <v>0.86173384714916601</v>
      </c>
      <c r="E16" s="147">
        <f>1-'Full Historical Statements'!F17</f>
        <v>0.86886616656314208</v>
      </c>
      <c r="F16" s="147">
        <f>1-'Full Historical Statements'!G17</f>
        <v>0.81021374746671748</v>
      </c>
      <c r="G16" s="147">
        <f>1-'Full Historical Statements'!H17</f>
        <v>0.81768673402172798</v>
      </c>
      <c r="H16" s="147">
        <f>1-'Full Historical Statements'!I17</f>
        <v>0.8237035599019632</v>
      </c>
    </row>
    <row r="17" spans="2:8">
      <c r="B17" s="158" t="s">
        <v>173</v>
      </c>
      <c r="C17" s="158"/>
      <c r="D17" s="159">
        <f>D15*D16</f>
        <v>60248.983657281089</v>
      </c>
      <c r="E17" s="159">
        <f t="shared" ref="E17:H17" si="1">E15*E16</f>
        <v>72448.667566534481</v>
      </c>
      <c r="F17" s="159">
        <f t="shared" si="1"/>
        <v>71722.551566996233</v>
      </c>
      <c r="G17" s="159">
        <f t="shared" si="1"/>
        <v>89481.912364199758</v>
      </c>
      <c r="H17" s="159">
        <f t="shared" si="1"/>
        <v>105868.97114707953</v>
      </c>
    </row>
    <row r="18" spans="2:8">
      <c r="B18" s="113" t="s">
        <v>174</v>
      </c>
      <c r="D18" s="149">
        <f>('Simplified Model'!G49+'Simplified Model'!G50+'Simplified Model'!G56)</f>
        <v>43151</v>
      </c>
      <c r="E18" s="149">
        <f>('Simplified Model'!H49+'Simplified Model'!H50+'Simplified Model'!H56)</f>
        <v>47152</v>
      </c>
      <c r="F18" s="149">
        <f>('Simplified Model'!I49+'Simplified Model'!I50+'Simplified Model'!I56)</f>
        <v>61151</v>
      </c>
      <c r="G18" s="149">
        <f>('Simplified Model'!J49+'Simplified Model'!J50+'Simplified Model'!J56)</f>
        <v>57151</v>
      </c>
      <c r="H18" s="149">
        <f>('Simplified Model'!K49+'Simplified Model'!K50+'Simplified Model'!K56)</f>
        <v>37151</v>
      </c>
    </row>
    <row r="19" spans="2:8">
      <c r="B19" s="113" t="s">
        <v>175</v>
      </c>
      <c r="D19" s="149">
        <f>'Full Historical Statements'!E86</f>
        <v>141988</v>
      </c>
      <c r="E19" s="149">
        <f>'Full Historical Statements'!F86</f>
        <v>166542</v>
      </c>
      <c r="F19" s="149">
        <f>'Full Historical Statements'!G86</f>
        <v>206223</v>
      </c>
      <c r="G19" s="149">
        <f>'Full Historical Statements'!H86</f>
        <v>268477</v>
      </c>
      <c r="H19" s="149">
        <f>'Full Historical Statements'!I86</f>
        <v>343479</v>
      </c>
    </row>
    <row r="20" spans="2:8">
      <c r="B20" s="113" t="s">
        <v>176</v>
      </c>
      <c r="D20" s="149">
        <f>'Full Historical Statements'!E128</f>
        <v>14224</v>
      </c>
      <c r="E20" s="149">
        <f>'Full Historical Statements'!F128</f>
        <v>13931</v>
      </c>
      <c r="F20" s="149">
        <f>'Full Historical Statements'!G128</f>
        <v>34704</v>
      </c>
      <c r="G20" s="149">
        <f>'Full Historical Statements'!H128</f>
        <v>18315</v>
      </c>
      <c r="H20" s="149">
        <f>'Full Historical Statements'!I128</f>
        <v>30242</v>
      </c>
    </row>
    <row r="21" spans="2:8">
      <c r="B21" s="161" t="s">
        <v>177</v>
      </c>
      <c r="C21" s="161"/>
      <c r="D21" s="164">
        <f>D18+D19-D20</f>
        <v>170915</v>
      </c>
      <c r="E21" s="164">
        <f t="shared" ref="E21:H21" si="2">E18+E19-E20</f>
        <v>199763</v>
      </c>
      <c r="F21" s="164">
        <f t="shared" si="2"/>
        <v>232670</v>
      </c>
      <c r="G21" s="164">
        <f t="shared" si="2"/>
        <v>307313</v>
      </c>
      <c r="H21" s="164">
        <f t="shared" si="2"/>
        <v>350388</v>
      </c>
    </row>
    <row r="22" spans="2:8" ht="17" thickBot="1">
      <c r="B22" s="162" t="s">
        <v>178</v>
      </c>
      <c r="C22" s="162"/>
      <c r="D22" s="163">
        <f>D17/D21</f>
        <v>0.35250846126601582</v>
      </c>
      <c r="E22" s="163">
        <f>E17/E21</f>
        <v>0.36267310546264564</v>
      </c>
      <c r="F22" s="163">
        <f>F17/F21</f>
        <v>0.30825869930371874</v>
      </c>
      <c r="G22" s="163">
        <f>G17/G21</f>
        <v>0.29117516136382049</v>
      </c>
      <c r="H22" s="163">
        <f>H17/H21</f>
        <v>0.30214782226297571</v>
      </c>
    </row>
    <row r="23" spans="2:8">
      <c r="D23" s="147"/>
      <c r="E23" s="147"/>
      <c r="F23" s="147"/>
      <c r="G23" s="147"/>
      <c r="H23" s="147"/>
    </row>
    <row r="24" spans="2:8" ht="18">
      <c r="B24" s="154" t="s">
        <v>304</v>
      </c>
      <c r="C24" s="154"/>
      <c r="D24" s="154"/>
      <c r="E24" s="154"/>
      <c r="F24" s="154"/>
      <c r="G24" s="154"/>
      <c r="H24" s="154"/>
    </row>
    <row r="25" spans="2:8">
      <c r="B25" s="113" t="s">
        <v>180</v>
      </c>
      <c r="D25" s="149">
        <f>'Full Historical Statements'!E45</f>
        <v>61271</v>
      </c>
      <c r="E25" s="149">
        <f>'Full Historical Statements'!F45</f>
        <v>72738</v>
      </c>
      <c r="F25" s="149">
        <f>'Full Historical Statements'!G45</f>
        <v>72361</v>
      </c>
      <c r="G25" s="149">
        <f>'Full Historical Statements'!H45</f>
        <v>88136</v>
      </c>
      <c r="H25" s="149">
        <f>'Full Historical Statements'!I45</f>
        <v>101832</v>
      </c>
    </row>
    <row r="26" spans="2:8">
      <c r="B26" s="113" t="s">
        <v>181</v>
      </c>
      <c r="D26" s="149">
        <f>'Full Historical Statements'!E86</f>
        <v>141988</v>
      </c>
      <c r="E26" s="149">
        <f>'Full Historical Statements'!F86</f>
        <v>166542</v>
      </c>
      <c r="F26" s="149">
        <f>'Full Historical Statements'!G86</f>
        <v>206223</v>
      </c>
      <c r="G26" s="149">
        <f>'Full Historical Statements'!H86</f>
        <v>268477</v>
      </c>
      <c r="H26" s="149">
        <f>'Full Historical Statements'!I86</f>
        <v>343479</v>
      </c>
    </row>
    <row r="27" spans="2:8">
      <c r="B27" s="96" t="s">
        <v>182</v>
      </c>
      <c r="C27" s="96"/>
      <c r="D27" s="165">
        <f>D25/D26</f>
        <v>0.43152238217314137</v>
      </c>
      <c r="E27" s="165">
        <f t="shared" ref="E27:H27" si="3">E25/E26</f>
        <v>0.43675469250999749</v>
      </c>
      <c r="F27" s="165">
        <f t="shared" si="3"/>
        <v>0.35088714643856406</v>
      </c>
      <c r="G27" s="165">
        <f t="shared" si="3"/>
        <v>0.32828137978299815</v>
      </c>
      <c r="H27" s="165">
        <f t="shared" si="3"/>
        <v>0.29647227341409521</v>
      </c>
    </row>
    <row r="28" spans="2:8">
      <c r="B28" s="102"/>
      <c r="C28" s="102"/>
      <c r="D28" s="166"/>
      <c r="E28" s="166"/>
      <c r="F28" s="166"/>
      <c r="G28" s="166"/>
      <c r="H28" s="166"/>
    </row>
    <row r="29" spans="2:8" ht="18">
      <c r="B29" s="154" t="s">
        <v>305</v>
      </c>
      <c r="C29" s="154"/>
      <c r="D29" s="154"/>
      <c r="E29" s="154"/>
      <c r="F29" s="154"/>
      <c r="G29" s="154"/>
      <c r="H29" s="154"/>
    </row>
    <row r="30" spans="2:8">
      <c r="B30" s="113" t="s">
        <v>183</v>
      </c>
      <c r="D30" s="150">
        <f>D18/D19</f>
        <v>0.30390596388427193</v>
      </c>
      <c r="E30" s="150">
        <f t="shared" ref="E30:H30" si="4">E18/E19</f>
        <v>0.28312377658488547</v>
      </c>
      <c r="F30" s="150">
        <f t="shared" si="4"/>
        <v>0.29652851524805673</v>
      </c>
      <c r="G30" s="150">
        <f t="shared" si="4"/>
        <v>0.21287112117611565</v>
      </c>
      <c r="H30" s="150">
        <f t="shared" si="4"/>
        <v>0.10816090648918857</v>
      </c>
    </row>
    <row r="31" spans="2:8">
      <c r="B31" s="113" t="s">
        <v>189</v>
      </c>
      <c r="D31" s="152">
        <f>D40/'Full Historical Statements'!E33</f>
        <v>12.976387963447719</v>
      </c>
      <c r="E31" s="152">
        <f>E40/'Full Historical Statements'!F33</f>
        <v>10.688047611842437</v>
      </c>
      <c r="F31" s="152">
        <f>F40/'Full Historical Statements'!G33</f>
        <v>11.902567538871718</v>
      </c>
      <c r="G31" s="152">
        <f>G40/'Full Historical Statements'!H33</f>
        <v>12.839224957368168</v>
      </c>
      <c r="H31" s="152">
        <f>H40/'Full Historical Statements'!I33</f>
        <v>10.410868793571012</v>
      </c>
    </row>
    <row r="32" spans="2:8">
      <c r="B32" s="113" t="s">
        <v>190</v>
      </c>
      <c r="D32" s="150">
        <f>393.82/'Full Historical Statements'!E47</f>
        <v>48.92173913043478</v>
      </c>
      <c r="E32" s="150">
        <f>393.82/'Full Historical Statements'!F47</f>
        <v>40.810362694300515</v>
      </c>
      <c r="F32" s="150">
        <f>393.82/'Full Historical Statements'!G47</f>
        <v>40.683884297520663</v>
      </c>
      <c r="G32" s="150">
        <f>393.82/'Full Historical Statements'!H47</f>
        <v>33.374576271186442</v>
      </c>
      <c r="H32" s="150">
        <f>393.82/'Full Historical Statements'!I47</f>
        <v>28.872434017595307</v>
      </c>
    </row>
    <row r="33" spans="2:8">
      <c r="D33" s="152"/>
      <c r="E33" s="152"/>
      <c r="F33" s="152"/>
      <c r="G33" s="152"/>
      <c r="H33" s="152"/>
    </row>
    <row r="34" spans="2:8">
      <c r="B34" s="113" t="s">
        <v>184</v>
      </c>
    </row>
    <row r="35" spans="2:8">
      <c r="B35" s="113" t="s">
        <v>185</v>
      </c>
      <c r="D35" s="151">
        <v>7430</v>
      </c>
      <c r="E35" s="151">
        <v>7430</v>
      </c>
      <c r="F35" s="151">
        <v>7430</v>
      </c>
      <c r="G35" s="151">
        <v>7430</v>
      </c>
      <c r="H35" s="151">
        <v>7430</v>
      </c>
    </row>
    <row r="36" spans="2:8">
      <c r="B36" s="113" t="s">
        <v>306</v>
      </c>
      <c r="D36" s="113">
        <v>289.67</v>
      </c>
      <c r="E36" s="113">
        <v>280.74</v>
      </c>
      <c r="F36" s="113">
        <v>335.92</v>
      </c>
      <c r="G36" s="113">
        <v>418.35</v>
      </c>
      <c r="H36" s="113">
        <v>393.82</v>
      </c>
    </row>
    <row r="37" spans="2:8">
      <c r="B37" s="113" t="s">
        <v>186</v>
      </c>
      <c r="D37" s="149">
        <f>D35*D36</f>
        <v>2152248.1</v>
      </c>
      <c r="E37" s="149">
        <f t="shared" ref="E37:H37" si="5">E35*E36</f>
        <v>2085898.2</v>
      </c>
      <c r="F37" s="149">
        <f t="shared" si="5"/>
        <v>2495885.6</v>
      </c>
      <c r="G37" s="149">
        <f t="shared" si="5"/>
        <v>3108340.5</v>
      </c>
      <c r="H37" s="149">
        <f t="shared" si="5"/>
        <v>2926082.6</v>
      </c>
    </row>
    <row r="38" spans="2:8">
      <c r="B38" s="113" t="s">
        <v>174</v>
      </c>
      <c r="D38" s="149">
        <f>D18</f>
        <v>43151</v>
      </c>
      <c r="E38" s="149">
        <f>E18</f>
        <v>47152</v>
      </c>
      <c r="F38" s="149">
        <f>F18</f>
        <v>61151</v>
      </c>
      <c r="G38" s="149">
        <f>G18</f>
        <v>57151</v>
      </c>
      <c r="H38" s="149">
        <f>H18</f>
        <v>37151</v>
      </c>
    </row>
    <row r="39" spans="2:8">
      <c r="B39" s="113" t="s">
        <v>187</v>
      </c>
      <c r="D39" s="149">
        <f>D20</f>
        <v>14224</v>
      </c>
      <c r="E39" s="149">
        <f>E20</f>
        <v>13931</v>
      </c>
      <c r="F39" s="149">
        <f>F20</f>
        <v>34704</v>
      </c>
      <c r="G39" s="149">
        <f>G20</f>
        <v>18315</v>
      </c>
      <c r="H39" s="149">
        <f>H20</f>
        <v>30242</v>
      </c>
    </row>
    <row r="40" spans="2:8">
      <c r="B40" s="96" t="s">
        <v>188</v>
      </c>
      <c r="C40" s="96"/>
      <c r="D40" s="160">
        <f>D37+D38-D39</f>
        <v>2181175.1</v>
      </c>
      <c r="E40" s="160">
        <f t="shared" ref="E40:H40" si="6">E37+E38-E39</f>
        <v>2119119.2000000002</v>
      </c>
      <c r="F40" s="160">
        <f t="shared" si="6"/>
        <v>2522332.6</v>
      </c>
      <c r="G40" s="160">
        <f t="shared" si="6"/>
        <v>3147176.5</v>
      </c>
      <c r="H40" s="160">
        <f t="shared" si="6"/>
        <v>2932991.6</v>
      </c>
    </row>
    <row r="50" spans="4:8">
      <c r="D50" s="147"/>
      <c r="E50" s="147"/>
      <c r="F50" s="147"/>
      <c r="G50" s="147"/>
      <c r="H50" s="147"/>
    </row>
  </sheetData>
  <mergeCells count="5">
    <mergeCell ref="B3:H3"/>
    <mergeCell ref="B8:H8"/>
    <mergeCell ref="B14:H14"/>
    <mergeCell ref="B24:H24"/>
    <mergeCell ref="B29:H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7"/>
  <sheetViews>
    <sheetView showGridLines="0" zoomScale="136" workbookViewId="0">
      <selection activeCell="D3" sqref="D3"/>
    </sheetView>
  </sheetViews>
  <sheetFormatPr baseColWidth="10" defaultRowHeight="14"/>
  <cols>
    <col min="1" max="1" width="5" customWidth="1"/>
    <col min="2" max="2" width="13.6640625" customWidth="1"/>
    <col min="4" max="4" width="11" customWidth="1"/>
    <col min="5" max="5" width="22.6640625" customWidth="1"/>
    <col min="6" max="6" width="12.6640625" customWidth="1"/>
  </cols>
  <sheetData>
    <row r="2" spans="2:6">
      <c r="B2" s="33" t="s">
        <v>191</v>
      </c>
      <c r="C2" s="34" t="s">
        <v>192</v>
      </c>
      <c r="D2" s="34" t="s">
        <v>193</v>
      </c>
      <c r="E2" s="34" t="s">
        <v>194</v>
      </c>
      <c r="F2" s="34" t="s">
        <v>195</v>
      </c>
    </row>
    <row r="3" spans="2:6">
      <c r="B3" t="s">
        <v>196</v>
      </c>
      <c r="C3">
        <v>20.28</v>
      </c>
      <c r="D3" s="26">
        <v>14.6</v>
      </c>
      <c r="E3" s="27">
        <v>0.155</v>
      </c>
      <c r="F3" s="26">
        <v>1.21</v>
      </c>
    </row>
    <row r="4" spans="2:6">
      <c r="B4" t="s">
        <v>197</v>
      </c>
      <c r="C4">
        <v>24.51</v>
      </c>
      <c r="D4" s="26">
        <v>19.16</v>
      </c>
      <c r="E4" s="27">
        <v>0.16900000000000001</v>
      </c>
      <c r="F4" s="26">
        <v>1.36</v>
      </c>
    </row>
    <row r="5" spans="2:6">
      <c r="B5" t="s">
        <v>198</v>
      </c>
      <c r="C5">
        <v>29.15</v>
      </c>
      <c r="D5" s="26">
        <v>14.47</v>
      </c>
      <c r="E5" s="27">
        <v>0.13400000000000001</v>
      </c>
      <c r="F5" s="26">
        <v>1.3</v>
      </c>
    </row>
    <row r="6" spans="2:6">
      <c r="B6" s="4" t="s">
        <v>199</v>
      </c>
      <c r="C6" s="4">
        <v>34.97</v>
      </c>
      <c r="D6" s="30">
        <v>30.74</v>
      </c>
      <c r="E6" s="32">
        <v>0.15790000000000001</v>
      </c>
      <c r="F6" s="30">
        <v>2.69</v>
      </c>
    </row>
    <row r="7" spans="2:6" ht="15">
      <c r="B7" s="28" t="s">
        <v>200</v>
      </c>
      <c r="C7" s="29">
        <f>AVERAGE(C3:C6)</f>
        <v>27.227499999999999</v>
      </c>
      <c r="D7" s="29">
        <f t="shared" ref="D7:F7" si="0">AVERAGE(D3:D6)</f>
        <v>19.7425</v>
      </c>
      <c r="E7" s="31">
        <f>AVERAGE(E3:E6)</f>
        <v>0.153975</v>
      </c>
      <c r="F7" s="29">
        <f t="shared" si="0"/>
        <v>1.6400000000000001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43BF-E332-D14E-B926-F5CFFC7B5AB8}">
  <dimension ref="A1:O92"/>
  <sheetViews>
    <sheetView showGridLines="0" topLeftCell="A31" workbookViewId="0">
      <selection activeCell="M37" sqref="M37"/>
    </sheetView>
  </sheetViews>
  <sheetFormatPr baseColWidth="10" defaultRowHeight="14"/>
  <cols>
    <col min="1" max="1" width="10.83203125" style="5"/>
    <col min="2" max="2" width="14.5" style="5" bestFit="1" customWidth="1"/>
    <col min="3" max="3" width="9.5" style="5" customWidth="1"/>
    <col min="4" max="4" width="11.6640625" style="5" bestFit="1" customWidth="1"/>
    <col min="5" max="5" width="7" style="5" customWidth="1"/>
    <col min="6" max="8" width="10.83203125" style="5"/>
    <col min="9" max="9" width="11.5" style="5" bestFit="1" customWidth="1"/>
    <col min="10" max="13" width="10.83203125" style="5"/>
    <col min="14" max="15" width="14" style="5" bestFit="1" customWidth="1"/>
    <col min="16" max="16384" width="10.83203125" style="5"/>
  </cols>
  <sheetData>
    <row r="1" spans="1:14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17" customHeight="1"/>
    <row r="3" spans="1:14" ht="15" thickBot="1">
      <c r="E3" s="59"/>
      <c r="F3" s="67" t="s">
        <v>233</v>
      </c>
      <c r="G3" s="67" t="s">
        <v>233</v>
      </c>
      <c r="H3" s="67" t="s">
        <v>234</v>
      </c>
      <c r="I3" s="68" t="s">
        <v>235</v>
      </c>
      <c r="J3" s="68" t="s">
        <v>236</v>
      </c>
      <c r="K3" s="68" t="s">
        <v>237</v>
      </c>
      <c r="L3" s="68" t="s">
        <v>238</v>
      </c>
      <c r="M3" s="68" t="s">
        <v>239</v>
      </c>
      <c r="N3" s="69" t="s">
        <v>240</v>
      </c>
    </row>
    <row r="4" spans="1:14">
      <c r="N4" s="70"/>
    </row>
    <row r="5" spans="1:14">
      <c r="B5" s="5" t="s">
        <v>241</v>
      </c>
      <c r="F5" s="38"/>
      <c r="G5" s="71">
        <f>G11/F11-1</f>
        <v>0.1566996201307127</v>
      </c>
      <c r="H5" s="71">
        <f t="shared" ref="H5:M5" si="0">H11/G11-1</f>
        <v>0.14932156232406713</v>
      </c>
      <c r="I5" s="71">
        <f t="shared" si="0"/>
        <v>0.14999999999999991</v>
      </c>
      <c r="J5" s="71">
        <f t="shared" si="0"/>
        <v>0.14999999999999991</v>
      </c>
      <c r="K5" s="71">
        <f t="shared" si="0"/>
        <v>0.14999999999999991</v>
      </c>
      <c r="L5" s="71">
        <f t="shared" si="0"/>
        <v>0.14999999999999991</v>
      </c>
      <c r="M5" s="71">
        <f t="shared" si="0"/>
        <v>0.14999999999999991</v>
      </c>
      <c r="N5" s="72">
        <v>0.17</v>
      </c>
    </row>
    <row r="6" spans="1:14">
      <c r="B6" s="5" t="s">
        <v>242</v>
      </c>
      <c r="C6" s="5" t="s">
        <v>20</v>
      </c>
      <c r="F6" s="71">
        <f>-F12/F11</f>
        <v>0.31079914116508978</v>
      </c>
      <c r="G6" s="71">
        <f t="shared" ref="G6:M6" si="1">-G12/G11</f>
        <v>0.30235556172028621</v>
      </c>
      <c r="H6" s="71">
        <f t="shared" si="1"/>
        <v>0.31176257613834818</v>
      </c>
      <c r="I6" s="71">
        <f t="shared" si="1"/>
        <v>0.31</v>
      </c>
      <c r="J6" s="71">
        <f t="shared" si="1"/>
        <v>0.32</v>
      </c>
      <c r="K6" s="71">
        <f t="shared" si="1"/>
        <v>0.33</v>
      </c>
      <c r="L6" s="71">
        <f t="shared" si="1"/>
        <v>0.32</v>
      </c>
      <c r="M6" s="71">
        <f t="shared" si="1"/>
        <v>0.3</v>
      </c>
      <c r="N6" s="72">
        <v>5.0000000000000001E-3</v>
      </c>
    </row>
    <row r="7" spans="1:14">
      <c r="B7" s="5" t="s">
        <v>243</v>
      </c>
      <c r="C7" s="5" t="s">
        <v>20</v>
      </c>
      <c r="F7" s="71">
        <f>F15/F11</f>
        <v>0.27147205247386924</v>
      </c>
      <c r="G7" s="71">
        <f t="shared" ref="G7:M7" si="2">G15/G11</f>
        <v>0.25120144254697663</v>
      </c>
      <c r="H7" s="71">
        <f t="shared" si="2"/>
        <v>0.23201786145305334</v>
      </c>
      <c r="I7" s="71">
        <f t="shared" si="2"/>
        <v>0.22499999999999998</v>
      </c>
      <c r="J7" s="71">
        <f t="shared" si="2"/>
        <v>0.21699999999999997</v>
      </c>
      <c r="K7" s="71">
        <f t="shared" si="2"/>
        <v>0.20500000000000002</v>
      </c>
      <c r="L7" s="71">
        <f t="shared" si="2"/>
        <v>0.19999999999999998</v>
      </c>
      <c r="M7" s="71">
        <f t="shared" si="2"/>
        <v>0.19999999999999998</v>
      </c>
      <c r="N7" s="72">
        <v>0.2</v>
      </c>
    </row>
    <row r="8" spans="1:14">
      <c r="F8" s="38"/>
      <c r="G8" s="38"/>
      <c r="H8" s="38"/>
      <c r="I8" s="38"/>
      <c r="J8" s="38"/>
      <c r="K8" s="38"/>
      <c r="L8" s="38"/>
      <c r="M8" s="38"/>
      <c r="N8" s="73"/>
    </row>
    <row r="9" spans="1:14">
      <c r="B9" s="5" t="s">
        <v>244</v>
      </c>
      <c r="F9" s="38"/>
      <c r="G9" s="71">
        <f>G18/F18-1</f>
        <v>0.60789264843806357</v>
      </c>
      <c r="H9" s="71">
        <f t="shared" ref="H9:M9" si="3">H18/G18-1</f>
        <v>0.53241800152555308</v>
      </c>
      <c r="I9" s="71">
        <f t="shared" si="3"/>
        <v>-0.26570198811231815</v>
      </c>
      <c r="J9" s="71">
        <f t="shared" si="3"/>
        <v>0.72987772783677474</v>
      </c>
      <c r="K9" s="71">
        <f t="shared" si="3"/>
        <v>0.75253579767641954</v>
      </c>
      <c r="L9" s="71">
        <f t="shared" si="3"/>
        <v>0.3251429897057172</v>
      </c>
      <c r="M9" s="71">
        <f t="shared" si="3"/>
        <v>9.0048736277159813E-2</v>
      </c>
      <c r="N9" s="72">
        <v>0.14000000000000001</v>
      </c>
    </row>
    <row r="10" spans="1:14">
      <c r="F10" s="38"/>
      <c r="G10" s="38"/>
      <c r="H10" s="38"/>
      <c r="I10" s="38"/>
      <c r="J10" s="38"/>
      <c r="K10" s="38"/>
      <c r="L10" s="38"/>
      <c r="M10" s="38"/>
      <c r="N10" s="73"/>
    </row>
    <row r="11" spans="1:14">
      <c r="B11" s="5" t="s">
        <v>147</v>
      </c>
      <c r="F11" s="38">
        <f>'Simplified Model'!E8</f>
        <v>211915</v>
      </c>
      <c r="G11" s="38">
        <f>'Simplified Model'!F8</f>
        <v>245122</v>
      </c>
      <c r="H11" s="38">
        <f>'Simplified Model'!G8</f>
        <v>281724</v>
      </c>
      <c r="I11" s="38">
        <f>'Simplified Model'!H8</f>
        <v>323982.59999999998</v>
      </c>
      <c r="J11" s="38">
        <f>'Simplified Model'!I8</f>
        <v>372579.98999999993</v>
      </c>
      <c r="K11" s="38">
        <f>'Simplified Model'!J8</f>
        <v>428466.98849999986</v>
      </c>
      <c r="L11" s="38">
        <f>'Simplified Model'!K8</f>
        <v>492737.03677499981</v>
      </c>
      <c r="M11" s="38">
        <f>'Simplified Model'!L8</f>
        <v>566647.59229124978</v>
      </c>
      <c r="N11" s="73">
        <f>M11*(1+N5)</f>
        <v>662977.68298076221</v>
      </c>
    </row>
    <row r="12" spans="1:14">
      <c r="B12" s="5" t="s">
        <v>242</v>
      </c>
      <c r="F12" s="38">
        <f>-'Simplified Model'!E10</f>
        <v>-65863</v>
      </c>
      <c r="G12" s="38">
        <f>-'Simplified Model'!F10</f>
        <v>-74114</v>
      </c>
      <c r="H12" s="38">
        <f>-'Simplified Model'!G10</f>
        <v>-87831</v>
      </c>
      <c r="I12" s="38">
        <f>-'Simplified Model'!H10</f>
        <v>-100434.60599999999</v>
      </c>
      <c r="J12" s="38">
        <f>-'Simplified Model'!I10</f>
        <v>-119225.59679999998</v>
      </c>
      <c r="K12" s="38">
        <f>-'Simplified Model'!J10</f>
        <v>-141394.10620499996</v>
      </c>
      <c r="L12" s="38">
        <f>-'Simplified Model'!K10</f>
        <v>-157675.85176799993</v>
      </c>
      <c r="M12" s="38">
        <f>-'Simplified Model'!L10</f>
        <v>-169994.27768737494</v>
      </c>
      <c r="N12" s="73">
        <f>M12*(1+N6)</f>
        <v>-170844.24907581179</v>
      </c>
    </row>
    <row r="13" spans="1:14">
      <c r="B13" s="5" t="s">
        <v>245</v>
      </c>
      <c r="F13" s="74">
        <f>F11+F12</f>
        <v>146052</v>
      </c>
      <c r="G13" s="74">
        <f t="shared" ref="G13:N13" si="4">G11+G12</f>
        <v>171008</v>
      </c>
      <c r="H13" s="74">
        <f t="shared" si="4"/>
        <v>193893</v>
      </c>
      <c r="I13" s="74">
        <f t="shared" si="4"/>
        <v>223547.99400000001</v>
      </c>
      <c r="J13" s="74">
        <f t="shared" si="4"/>
        <v>253354.39319999993</v>
      </c>
      <c r="K13" s="74">
        <f t="shared" si="4"/>
        <v>287072.8822949999</v>
      </c>
      <c r="L13" s="74">
        <f t="shared" si="4"/>
        <v>335061.18500699988</v>
      </c>
      <c r="M13" s="74">
        <f t="shared" si="4"/>
        <v>396653.31460387481</v>
      </c>
      <c r="N13" s="75">
        <f t="shared" si="4"/>
        <v>492133.43390495039</v>
      </c>
    </row>
    <row r="14" spans="1:14">
      <c r="F14" s="38"/>
      <c r="G14" s="38"/>
      <c r="H14" s="38"/>
      <c r="I14" s="38"/>
      <c r="J14" s="38"/>
      <c r="K14" s="38"/>
      <c r="L14" s="38"/>
      <c r="M14" s="38"/>
      <c r="N14" s="73"/>
    </row>
    <row r="15" spans="1:14">
      <c r="B15" s="5" t="s">
        <v>295</v>
      </c>
      <c r="F15" s="38">
        <f>'Simplified Model'!E13+'Simplified Model'!E15+'Simplified Model'!E17</f>
        <v>57529</v>
      </c>
      <c r="G15" s="38">
        <f>'Simplified Model'!F13+'Simplified Model'!F15+'Simplified Model'!F17</f>
        <v>61575</v>
      </c>
      <c r="H15" s="38">
        <f>'Simplified Model'!G13+'Simplified Model'!G15+'Simplified Model'!G17</f>
        <v>65365</v>
      </c>
      <c r="I15" s="38">
        <f>'Simplified Model'!H13+'Simplified Model'!H15+'Simplified Model'!H17</f>
        <v>72896.084999999992</v>
      </c>
      <c r="J15" s="38">
        <f>'Simplified Model'!I13+'Simplified Model'!I15+'Simplified Model'!I17</f>
        <v>80849.857829999979</v>
      </c>
      <c r="K15" s="38">
        <f>'Simplified Model'!J13+'Simplified Model'!J15+'Simplified Model'!J17</f>
        <v>87835.732642499977</v>
      </c>
      <c r="L15" s="38">
        <f>'Simplified Model'!K13+'Simplified Model'!K15+'Simplified Model'!K17</f>
        <v>98547.407354999959</v>
      </c>
      <c r="M15" s="38">
        <f>'Simplified Model'!L13+'Simplified Model'!L15+'Simplified Model'!L17</f>
        <v>113329.51845824995</v>
      </c>
      <c r="N15" s="73">
        <f>N11*N7</f>
        <v>132595.53659615244</v>
      </c>
    </row>
    <row r="16" spans="1:14">
      <c r="B16" s="5" t="s">
        <v>246</v>
      </c>
      <c r="F16" s="74">
        <f>F19-F18</f>
        <v>102384</v>
      </c>
      <c r="G16" s="74">
        <f t="shared" ref="G16:N16" si="5">G19-G18</f>
        <v>131720</v>
      </c>
      <c r="H16" s="74">
        <f t="shared" si="5"/>
        <v>162681</v>
      </c>
      <c r="I16" s="74">
        <f t="shared" si="5"/>
        <v>175730.38900000002</v>
      </c>
      <c r="J16" s="74">
        <f t="shared" si="5"/>
        <v>215887.23936999994</v>
      </c>
      <c r="K16" s="74">
        <f t="shared" si="5"/>
        <v>275266.89141249994</v>
      </c>
      <c r="L16" s="74">
        <f t="shared" si="5"/>
        <v>337264.05695439992</v>
      </c>
      <c r="M16" s="74">
        <f t="shared" si="5"/>
        <v>393146.51077877684</v>
      </c>
      <c r="N16" s="75">
        <f t="shared" si="5"/>
        <v>484735.79199059121</v>
      </c>
    </row>
    <row r="17" spans="2:14">
      <c r="F17" s="38"/>
      <c r="G17" s="38"/>
      <c r="H17" s="38"/>
      <c r="I17" s="38"/>
      <c r="J17" s="38"/>
      <c r="K17" s="38"/>
      <c r="L17" s="38"/>
      <c r="M17" s="38"/>
      <c r="N17" s="73"/>
    </row>
    <row r="18" spans="2:14">
      <c r="B18" s="5" t="s">
        <v>247</v>
      </c>
      <c r="F18" s="38">
        <f>-'Simplified Model'!E73</f>
        <v>-13861</v>
      </c>
      <c r="G18" s="38">
        <f>-'Simplified Model'!F73</f>
        <v>-22287</v>
      </c>
      <c r="H18" s="38">
        <f>-'Simplified Model'!G73</f>
        <v>-34153</v>
      </c>
      <c r="I18" s="38">
        <f>-'Simplified Model'!H73</f>
        <v>-25078.48</v>
      </c>
      <c r="J18" s="38">
        <f>-'Simplified Model'!I73</f>
        <v>-43382.703999999998</v>
      </c>
      <c r="K18" s="38">
        <f>-'Simplified Model'!J73</f>
        <v>-76029.74175999999</v>
      </c>
      <c r="L18" s="38">
        <f>-'Simplified Model'!K73</f>
        <v>-100750.2793024</v>
      </c>
      <c r="M18" s="38">
        <f>-'Simplified Model'!L73</f>
        <v>-109822.71463315201</v>
      </c>
      <c r="N18" s="73">
        <f>M18*(1+N9)</f>
        <v>-125197.8946817933</v>
      </c>
    </row>
    <row r="19" spans="2:14">
      <c r="B19" s="5" t="s">
        <v>248</v>
      </c>
      <c r="F19" s="74">
        <f>F13-F15</f>
        <v>88523</v>
      </c>
      <c r="G19" s="74">
        <f t="shared" ref="G19:N19" si="6">G13-G15</f>
        <v>109433</v>
      </c>
      <c r="H19" s="74">
        <f t="shared" si="6"/>
        <v>128528</v>
      </c>
      <c r="I19" s="74">
        <f t="shared" si="6"/>
        <v>150651.90900000001</v>
      </c>
      <c r="J19" s="74">
        <f t="shared" si="6"/>
        <v>172504.53536999994</v>
      </c>
      <c r="K19" s="74">
        <f t="shared" si="6"/>
        <v>199237.14965249994</v>
      </c>
      <c r="L19" s="74">
        <f t="shared" si="6"/>
        <v>236513.7776519999</v>
      </c>
      <c r="M19" s="74">
        <f t="shared" si="6"/>
        <v>283323.79614562483</v>
      </c>
      <c r="N19" s="75">
        <f t="shared" si="6"/>
        <v>359537.89730879792</v>
      </c>
    </row>
    <row r="20" spans="2:14">
      <c r="F20" s="38"/>
      <c r="G20" s="38"/>
      <c r="H20" s="38"/>
      <c r="I20" s="38"/>
      <c r="J20" s="38"/>
      <c r="K20" s="38"/>
      <c r="L20" s="38"/>
      <c r="M20" s="38"/>
      <c r="N20" s="73"/>
    </row>
    <row r="21" spans="2:14">
      <c r="B21" s="5" t="s">
        <v>172</v>
      </c>
      <c r="F21" s="43">
        <f>'Full Historical Statements'!G17</f>
        <v>0.18978625253328257</v>
      </c>
      <c r="G21" s="43">
        <f>'Full Historical Statements'!H17</f>
        <v>0.18231326597827197</v>
      </c>
      <c r="H21" s="43">
        <f>'Full Historical Statements'!I17</f>
        <v>0.17629644009803683</v>
      </c>
      <c r="I21" s="43">
        <f>'Full Historical Statements'!J17</f>
        <v>0.18279865286986377</v>
      </c>
      <c r="J21" s="43">
        <f>'Full Historical Statements'!K17</f>
        <v>0.18046945298205752</v>
      </c>
      <c r="K21" s="43">
        <f>'Full Historical Statements'!L17</f>
        <v>0.17985484864998602</v>
      </c>
      <c r="L21" s="43">
        <f>'Full Historical Statements'!M17</f>
        <v>0.1810409848339691</v>
      </c>
      <c r="M21" s="43">
        <f>'Full Historical Statements'!N17</f>
        <v>0.18045509548867089</v>
      </c>
      <c r="N21" s="76">
        <v>0.18</v>
      </c>
    </row>
    <row r="22" spans="2:14">
      <c r="B22" s="5" t="s">
        <v>249</v>
      </c>
      <c r="F22" s="74">
        <f>'Simplified Model'!E23</f>
        <v>16950</v>
      </c>
      <c r="G22" s="74">
        <f>'Simplified Model'!F23</f>
        <v>19651</v>
      </c>
      <c r="H22" s="74">
        <f>'Simplified Model'!G23</f>
        <v>21795</v>
      </c>
      <c r="I22" s="74">
        <f>'Simplified Model'!H23</f>
        <v>28089.745337822776</v>
      </c>
      <c r="J22" s="74">
        <f>'Simplified Model'!I23</f>
        <v>31754.43511785084</v>
      </c>
      <c r="K22" s="74">
        <f>'Simplified Model'!J23</f>
        <v>36550.44274412909</v>
      </c>
      <c r="L22" s="74">
        <f>'Simplified Model'!K23</f>
        <v>43675.060977578862</v>
      </c>
      <c r="M22" s="74">
        <f>'Simplified Model'!L23</f>
        <v>52149.767141424883</v>
      </c>
      <c r="N22" s="77">
        <f>N19*N21</f>
        <v>64716.821515583622</v>
      </c>
    </row>
    <row r="25" spans="2:14"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</row>
    <row r="27" spans="2:14" ht="23">
      <c r="B27" s="143" t="s">
        <v>250</v>
      </c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</row>
    <row r="30" spans="2:14" ht="15" thickBot="1">
      <c r="F30" s="67" t="s">
        <v>233</v>
      </c>
      <c r="G30" s="67" t="s">
        <v>233</v>
      </c>
      <c r="H30" s="67" t="s">
        <v>234</v>
      </c>
      <c r="I30" s="68" t="s">
        <v>235</v>
      </c>
      <c r="J30" s="68" t="s">
        <v>236</v>
      </c>
      <c r="K30" s="68" t="s">
        <v>237</v>
      </c>
      <c r="L30" s="68" t="s">
        <v>238</v>
      </c>
      <c r="M30" s="68" t="s">
        <v>239</v>
      </c>
      <c r="N30" s="69" t="s">
        <v>240</v>
      </c>
    </row>
    <row r="31" spans="2:14">
      <c r="B31" s="17" t="s">
        <v>251</v>
      </c>
      <c r="N31" s="70"/>
    </row>
    <row r="32" spans="2:14">
      <c r="B32" s="5" t="s">
        <v>171</v>
      </c>
      <c r="F32" s="38">
        <f>F19</f>
        <v>88523</v>
      </c>
      <c r="G32" s="38">
        <f>G19</f>
        <v>109433</v>
      </c>
      <c r="H32" s="38">
        <f>H19</f>
        <v>128528</v>
      </c>
      <c r="I32" s="38">
        <f>I19</f>
        <v>150651.90900000001</v>
      </c>
      <c r="J32" s="38">
        <f>J19</f>
        <v>172504.53536999994</v>
      </c>
      <c r="K32" s="38">
        <f>K19</f>
        <v>199237.14965249994</v>
      </c>
      <c r="L32" s="38">
        <f>L19</f>
        <v>236513.7776519999</v>
      </c>
      <c r="M32" s="38">
        <f>M19</f>
        <v>283323.79614562483</v>
      </c>
      <c r="N32" s="73">
        <f>N19</f>
        <v>359537.89730879792</v>
      </c>
    </row>
    <row r="33" spans="2:14">
      <c r="B33" s="5" t="s">
        <v>252</v>
      </c>
      <c r="F33" s="38">
        <f>F22</f>
        <v>16950</v>
      </c>
      <c r="G33" s="38">
        <f>G22</f>
        <v>19651</v>
      </c>
      <c r="H33" s="38">
        <f>H22</f>
        <v>21795</v>
      </c>
      <c r="I33" s="38">
        <f>I22</f>
        <v>28089.745337822776</v>
      </c>
      <c r="J33" s="38">
        <f>J22</f>
        <v>31754.43511785084</v>
      </c>
      <c r="K33" s="38">
        <f>K22</f>
        <v>36550.44274412909</v>
      </c>
      <c r="L33" s="38">
        <f>L22</f>
        <v>43675.060977578862</v>
      </c>
      <c r="M33" s="38">
        <f>M22</f>
        <v>52149.767141424883</v>
      </c>
      <c r="N33" s="73">
        <f>N22</f>
        <v>64716.821515583622</v>
      </c>
    </row>
    <row r="34" spans="2:14">
      <c r="B34" s="17" t="s">
        <v>173</v>
      </c>
      <c r="F34" s="74">
        <f>F32-F33</f>
        <v>71573</v>
      </c>
      <c r="G34" s="74">
        <f t="shared" ref="G34:N34" si="7">G32-G33</f>
        <v>89782</v>
      </c>
      <c r="H34" s="74">
        <f t="shared" si="7"/>
        <v>106733</v>
      </c>
      <c r="I34" s="74">
        <f t="shared" si="7"/>
        <v>122562.16366217723</v>
      </c>
      <c r="J34" s="74">
        <f t="shared" si="7"/>
        <v>140750.1002521491</v>
      </c>
      <c r="K34" s="74">
        <f t="shared" si="7"/>
        <v>162686.70690837083</v>
      </c>
      <c r="L34" s="74">
        <f t="shared" si="7"/>
        <v>192838.71667442104</v>
      </c>
      <c r="M34" s="74">
        <f t="shared" si="7"/>
        <v>231174.02900419995</v>
      </c>
      <c r="N34" s="75">
        <f t="shared" si="7"/>
        <v>294821.07579321432</v>
      </c>
    </row>
    <row r="35" spans="2:14">
      <c r="B35" s="5" t="s">
        <v>253</v>
      </c>
      <c r="F35" s="38">
        <f>-F18</f>
        <v>13861</v>
      </c>
      <c r="G35" s="38">
        <f>-G18</f>
        <v>22287</v>
      </c>
      <c r="H35" s="38">
        <f>-H18</f>
        <v>34153</v>
      </c>
      <c r="I35" s="38">
        <f>-I18</f>
        <v>25078.48</v>
      </c>
      <c r="J35" s="38">
        <f>-J18</f>
        <v>43382.703999999998</v>
      </c>
      <c r="K35" s="38">
        <f>-K18</f>
        <v>76029.74175999999</v>
      </c>
      <c r="L35" s="38">
        <f>-L18</f>
        <v>100750.2793024</v>
      </c>
      <c r="M35" s="38">
        <f>-M18</f>
        <v>109822.71463315201</v>
      </c>
      <c r="N35" s="73">
        <f>-N18</f>
        <v>125197.8946817933</v>
      </c>
    </row>
    <row r="36" spans="2:14">
      <c r="B36" s="5" t="s">
        <v>254</v>
      </c>
      <c r="F36" s="38">
        <f>'Simplified Model'!E82</f>
        <v>-28107</v>
      </c>
      <c r="G36" s="38">
        <f>'Simplified Model'!F82</f>
        <v>-44477</v>
      </c>
      <c r="H36" s="38">
        <f>'Simplified Model'!G82</f>
        <v>-64551</v>
      </c>
      <c r="I36" s="38">
        <f>'Simplified Model'!H82</f>
        <v>-110000</v>
      </c>
      <c r="J36" s="38">
        <f>'Simplified Model'!I82</f>
        <v>-150000</v>
      </c>
      <c r="K36" s="38">
        <f>'Simplified Model'!J82</f>
        <v>-140000</v>
      </c>
      <c r="L36" s="38">
        <f>'Simplified Model'!K82</f>
        <v>-120000</v>
      </c>
      <c r="M36" s="38">
        <f>'Simplified Model'!L82</f>
        <v>-130000</v>
      </c>
      <c r="N36" s="73">
        <v>-120000</v>
      </c>
    </row>
    <row r="37" spans="2:14">
      <c r="B37" s="5" t="s">
        <v>255</v>
      </c>
      <c r="F37" s="38">
        <f>'Simplified Model'!E39-'Simplified Model'!E55</f>
        <v>80108</v>
      </c>
      <c r="G37" s="38">
        <f>'Simplified Model'!F39-'Simplified Model'!F55</f>
        <v>34448</v>
      </c>
      <c r="H37" s="38">
        <f>'Simplified Model'!G39-'Simplified Model'!G55</f>
        <v>49913</v>
      </c>
      <c r="I37" s="38">
        <f>'Simplified Model'!H39-'Simplified Model'!H55</f>
        <v>92094.675230305089</v>
      </c>
      <c r="J37" s="38">
        <f>'Simplified Model'!I39-'Simplified Model'!I55</f>
        <v>92511.677713933372</v>
      </c>
      <c r="K37" s="38">
        <f>'Simplified Model'!J39-'Simplified Model'!J55</f>
        <v>94602.926590272516</v>
      </c>
      <c r="L37" s="38">
        <f>'Simplified Model'!K39-'Simplified Model'!K55</f>
        <v>146030.08837259794</v>
      </c>
      <c r="M37" s="38">
        <f>'Simplified Model'!L39-'Simplified Model'!L55</f>
        <v>222425.83010753492</v>
      </c>
      <c r="N37" s="73">
        <v>200000</v>
      </c>
    </row>
    <row r="38" spans="2:14" ht="15" thickBot="1">
      <c r="B38" s="17" t="s">
        <v>251</v>
      </c>
      <c r="F38" s="78">
        <f>SUM(F34:F37)</f>
        <v>137435</v>
      </c>
      <c r="G38" s="78">
        <f t="shared" ref="G38:N38" si="8">SUM(G34:G37)</f>
        <v>102040</v>
      </c>
      <c r="H38" s="78">
        <f t="shared" si="8"/>
        <v>126248</v>
      </c>
      <c r="I38" s="78">
        <f t="shared" si="8"/>
        <v>129735.31889248232</v>
      </c>
      <c r="J38" s="78">
        <f t="shared" si="8"/>
        <v>126644.48196608247</v>
      </c>
      <c r="K38" s="78">
        <f t="shared" si="8"/>
        <v>193319.37525864335</v>
      </c>
      <c r="L38" s="78">
        <f t="shared" si="8"/>
        <v>319619.08434941899</v>
      </c>
      <c r="M38" s="78">
        <f t="shared" si="8"/>
        <v>433422.5737448869</v>
      </c>
      <c r="N38" s="79">
        <f t="shared" si="8"/>
        <v>500018.97047500761</v>
      </c>
    </row>
    <row r="40" spans="2:14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</row>
    <row r="42" spans="2:14" ht="23">
      <c r="B42" s="143" t="s">
        <v>256</v>
      </c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</row>
    <row r="44" spans="2:14" ht="15" thickBot="1">
      <c r="I44" s="68" t="s">
        <v>235</v>
      </c>
      <c r="J44" s="68" t="s">
        <v>236</v>
      </c>
      <c r="K44" s="68" t="s">
        <v>237</v>
      </c>
      <c r="L44" s="68" t="s">
        <v>238</v>
      </c>
      <c r="M44" s="68" t="s">
        <v>239</v>
      </c>
      <c r="N44" s="69" t="s">
        <v>240</v>
      </c>
    </row>
    <row r="45" spans="2:14">
      <c r="N45" s="70"/>
    </row>
    <row r="46" spans="2:14">
      <c r="B46" s="5" t="s">
        <v>251</v>
      </c>
      <c r="I46" s="80">
        <f>I38</f>
        <v>129735.31889248232</v>
      </c>
      <c r="J46" s="81">
        <f t="shared" ref="J46:N46" si="9">J38</f>
        <v>126644.48196608247</v>
      </c>
      <c r="K46" s="81">
        <f t="shared" si="9"/>
        <v>193319.37525864335</v>
      </c>
      <c r="L46" s="81">
        <f t="shared" si="9"/>
        <v>319619.08434941899</v>
      </c>
      <c r="M46" s="81">
        <f t="shared" si="9"/>
        <v>433422.5737448869</v>
      </c>
      <c r="N46" s="82">
        <f t="shared" si="9"/>
        <v>500018.97047500761</v>
      </c>
    </row>
    <row r="47" spans="2:14">
      <c r="B47" s="5" t="s">
        <v>246</v>
      </c>
      <c r="I47" s="83"/>
      <c r="J47" s="62"/>
      <c r="K47" s="62"/>
      <c r="L47" s="62"/>
      <c r="M47" s="62"/>
      <c r="N47" s="84">
        <f>N16</f>
        <v>484735.79199059121</v>
      </c>
    </row>
    <row r="48" spans="2:14">
      <c r="N48" s="70"/>
    </row>
    <row r="49" spans="2:15">
      <c r="N49" s="70"/>
    </row>
    <row r="50" spans="2:15">
      <c r="B50" s="17" t="s">
        <v>257</v>
      </c>
      <c r="N50" s="70"/>
    </row>
    <row r="51" spans="2:15">
      <c r="B51" s="5" t="s">
        <v>258</v>
      </c>
      <c r="I51" s="41">
        <f>I46</f>
        <v>129735.31889248232</v>
      </c>
      <c r="J51" s="41">
        <f t="shared" ref="J51:N51" si="10">J46</f>
        <v>126644.48196608247</v>
      </c>
      <c r="K51" s="41">
        <f t="shared" si="10"/>
        <v>193319.37525864335</v>
      </c>
      <c r="L51" s="41">
        <f t="shared" si="10"/>
        <v>319619.08434941899</v>
      </c>
      <c r="M51" s="41">
        <f t="shared" si="10"/>
        <v>433422.5737448869</v>
      </c>
      <c r="N51" s="85">
        <f t="shared" si="10"/>
        <v>500018.97047500761</v>
      </c>
    </row>
    <row r="52" spans="2:15">
      <c r="B52" s="5" t="s">
        <v>259</v>
      </c>
      <c r="I52" s="140">
        <v>0</v>
      </c>
      <c r="J52" s="140">
        <v>0</v>
      </c>
      <c r="K52" s="140">
        <v>0</v>
      </c>
      <c r="L52" s="140">
        <v>0</v>
      </c>
      <c r="M52" s="140">
        <v>0</v>
      </c>
      <c r="N52" s="85">
        <f>(N51*(1+D60))/(D61-D60)</f>
        <v>7285308.3267337</v>
      </c>
      <c r="O52" s="146"/>
    </row>
    <row r="53" spans="2:15">
      <c r="B53" s="86" t="s">
        <v>260</v>
      </c>
      <c r="C53" s="87"/>
      <c r="D53" s="87"/>
      <c r="E53" s="87"/>
      <c r="F53" s="87"/>
      <c r="G53" s="87"/>
      <c r="H53" s="87"/>
      <c r="I53" s="88">
        <f>SUM(I51:I52)</f>
        <v>129735.31889248232</v>
      </c>
      <c r="J53" s="88">
        <f t="shared" ref="J53:N53" si="11">SUM(J51:J52)</f>
        <v>126644.48196608247</v>
      </c>
      <c r="K53" s="88">
        <f t="shared" si="11"/>
        <v>193319.37525864335</v>
      </c>
      <c r="L53" s="88">
        <f t="shared" si="11"/>
        <v>319619.08434941899</v>
      </c>
      <c r="M53" s="88">
        <f t="shared" si="11"/>
        <v>433422.5737448869</v>
      </c>
      <c r="N53" s="89">
        <f t="shared" si="11"/>
        <v>7785327.2972087078</v>
      </c>
    </row>
    <row r="54" spans="2:15">
      <c r="B54" s="63"/>
      <c r="C54" s="59"/>
      <c r="D54" s="59"/>
      <c r="E54" s="59"/>
      <c r="F54" s="59"/>
      <c r="G54" s="59"/>
      <c r="H54" s="59"/>
      <c r="I54" s="90"/>
      <c r="J54" s="90"/>
      <c r="K54" s="90"/>
      <c r="L54" s="90"/>
      <c r="M54" s="90"/>
      <c r="N54" s="90"/>
    </row>
    <row r="55" spans="2:15">
      <c r="B55" s="91"/>
      <c r="C55" s="62"/>
      <c r="D55" s="62"/>
      <c r="E55" s="62"/>
      <c r="F55" s="62"/>
      <c r="G55" s="62"/>
      <c r="H55" s="62"/>
      <c r="I55" s="92"/>
      <c r="J55" s="92"/>
      <c r="K55" s="92"/>
      <c r="L55" s="92"/>
      <c r="M55" s="92"/>
      <c r="N55" s="92"/>
    </row>
    <row r="57" spans="2:15" ht="16">
      <c r="B57" s="93" t="s">
        <v>2</v>
      </c>
      <c r="C57" s="93"/>
      <c r="D57" s="93"/>
      <c r="E57" s="93"/>
      <c r="F57" s="93"/>
      <c r="G57" s="93" t="s">
        <v>261</v>
      </c>
      <c r="H57" s="93"/>
      <c r="I57" s="17"/>
      <c r="J57" s="17"/>
      <c r="K57" s="94" t="s">
        <v>262</v>
      </c>
    </row>
    <row r="58" spans="2:15" ht="16">
      <c r="B58" s="95" t="s">
        <v>263</v>
      </c>
      <c r="C58" s="96"/>
      <c r="D58" s="97">
        <v>2026</v>
      </c>
      <c r="G58" s="95" t="s">
        <v>264</v>
      </c>
      <c r="H58" s="96"/>
      <c r="I58" s="98">
        <f>NPV(D61,I51,J51,K51,L51,M51)</f>
        <v>853399.93598304666</v>
      </c>
      <c r="K58" s="99" t="s">
        <v>265</v>
      </c>
      <c r="L58" s="61"/>
      <c r="M58" s="61"/>
      <c r="N58" s="100">
        <f>I74</f>
        <v>5349873.9048985336</v>
      </c>
    </row>
    <row r="59" spans="2:15" ht="16">
      <c r="B59" s="101" t="s">
        <v>266</v>
      </c>
      <c r="C59" s="102"/>
      <c r="D59" s="168">
        <f>Valuation!D3</f>
        <v>14.6</v>
      </c>
      <c r="G59" s="101" t="s">
        <v>267</v>
      </c>
      <c r="H59" s="102"/>
      <c r="I59" s="104">
        <f>NPV(D61,0,0,0,0,N52)</f>
        <v>4509382.9689154867</v>
      </c>
      <c r="K59" s="105" t="s">
        <v>268</v>
      </c>
      <c r="L59" s="59"/>
      <c r="M59" s="59"/>
      <c r="N59" s="106">
        <f>D79</f>
        <v>7465</v>
      </c>
    </row>
    <row r="60" spans="2:15" ht="16">
      <c r="B60" s="101" t="s">
        <v>298</v>
      </c>
      <c r="C60" s="102"/>
      <c r="D60" s="142">
        <v>0.03</v>
      </c>
      <c r="G60" s="107" t="s">
        <v>188</v>
      </c>
      <c r="H60" s="108"/>
      <c r="I60" s="110">
        <f>I58+I59</f>
        <v>5362782.9048985336</v>
      </c>
      <c r="K60" s="111" t="s">
        <v>299</v>
      </c>
      <c r="L60" s="91"/>
      <c r="M60" s="91"/>
      <c r="N60" s="112">
        <f>N58/N59</f>
        <v>716.66093836551022</v>
      </c>
    </row>
    <row r="61" spans="2:15" ht="16">
      <c r="B61" s="107" t="s">
        <v>269</v>
      </c>
      <c r="C61" s="108"/>
      <c r="D61" s="120">
        <f>(D81*D68)+(D87*D74)</f>
        <v>0.10069289541245292</v>
      </c>
    </row>
    <row r="63" spans="2:15" ht="16">
      <c r="E63" s="113"/>
      <c r="F63" s="113"/>
      <c r="K63" s="140"/>
    </row>
    <row r="64" spans="2:15" ht="16">
      <c r="B64" s="93" t="s">
        <v>270</v>
      </c>
      <c r="C64" s="113"/>
      <c r="D64" s="113"/>
      <c r="G64" s="93" t="s">
        <v>271</v>
      </c>
      <c r="H64" s="113"/>
      <c r="N64" s="146"/>
    </row>
    <row r="65" spans="2:12" ht="16">
      <c r="B65" s="95" t="s">
        <v>272</v>
      </c>
      <c r="C65" s="96"/>
      <c r="D65" s="114">
        <v>4.6199999999999998E-2</v>
      </c>
      <c r="G65" s="95" t="s">
        <v>68</v>
      </c>
      <c r="H65" s="96"/>
      <c r="I65" s="98">
        <f>'Simplified Model'!G49</f>
        <v>0</v>
      </c>
      <c r="K65" s="116"/>
    </row>
    <row r="66" spans="2:12" ht="16">
      <c r="B66" s="101" t="s">
        <v>273</v>
      </c>
      <c r="C66" s="102"/>
      <c r="D66" s="103">
        <v>1.1299999999999999</v>
      </c>
      <c r="G66" s="101" t="s">
        <v>75</v>
      </c>
      <c r="H66" s="102"/>
      <c r="I66" s="115">
        <f>'Simplified Model'!G50+'Simplified Model'!G56</f>
        <v>43151</v>
      </c>
    </row>
    <row r="67" spans="2:12" ht="16">
      <c r="B67" s="101" t="s">
        <v>274</v>
      </c>
      <c r="C67" s="102"/>
      <c r="D67" s="117">
        <v>4.9299999999999997E-2</v>
      </c>
      <c r="G67" s="227" t="s">
        <v>275</v>
      </c>
      <c r="H67" s="228"/>
      <c r="I67" s="104">
        <f>'Simplified Model'!G32</f>
        <v>30242</v>
      </c>
    </row>
    <row r="68" spans="2:12" ht="16">
      <c r="B68" s="107" t="s">
        <v>276</v>
      </c>
      <c r="C68" s="108"/>
      <c r="D68" s="117">
        <f>D65*D66+D67</f>
        <v>0.10150599999999999</v>
      </c>
      <c r="G68" s="107" t="s">
        <v>277</v>
      </c>
      <c r="H68" s="108"/>
      <c r="I68" s="104">
        <f>(I65+I66)-I67</f>
        <v>12909</v>
      </c>
    </row>
    <row r="70" spans="2:12">
      <c r="E70" s="17"/>
      <c r="F70" s="17"/>
    </row>
    <row r="71" spans="2:12" ht="16">
      <c r="B71" s="93" t="s">
        <v>278</v>
      </c>
      <c r="C71" s="17"/>
      <c r="D71" s="17"/>
      <c r="G71" s="94" t="s">
        <v>279</v>
      </c>
      <c r="H71" s="17"/>
    </row>
    <row r="72" spans="2:12" ht="16">
      <c r="B72" s="95" t="s">
        <v>280</v>
      </c>
      <c r="C72" s="96"/>
      <c r="D72" s="114">
        <f>'Full Historical Statements'!I154/('Full Historical Statements'!I69+'Full Historical Statements'!I76+'Full Historical Statements'!I70)</f>
        <v>5.5271025005214247E-2</v>
      </c>
      <c r="G72" s="99" t="s">
        <v>188</v>
      </c>
      <c r="H72" s="96"/>
      <c r="I72" s="118">
        <f>I60</f>
        <v>5362782.9048985336</v>
      </c>
    </row>
    <row r="73" spans="2:12" ht="16">
      <c r="B73" s="101" t="s">
        <v>172</v>
      </c>
      <c r="C73" s="102"/>
      <c r="D73" s="119">
        <f>J21</f>
        <v>0.18046945298205752</v>
      </c>
      <c r="G73" s="105" t="s">
        <v>281</v>
      </c>
      <c r="H73" s="102"/>
      <c r="I73" s="104">
        <f>-I68</f>
        <v>-12909</v>
      </c>
    </row>
    <row r="74" spans="2:12" ht="16">
      <c r="B74" s="107" t="s">
        <v>282</v>
      </c>
      <c r="C74" s="108"/>
      <c r="D74" s="120">
        <f>D72*(1-D73)</f>
        <v>4.5296293356765611E-2</v>
      </c>
      <c r="G74" s="121" t="s">
        <v>265</v>
      </c>
      <c r="H74" s="108"/>
      <c r="I74" s="110">
        <f>SUM(I72:I73)</f>
        <v>5349873.9048985336</v>
      </c>
    </row>
    <row r="77" spans="2:12" ht="16">
      <c r="B77" s="122" t="s">
        <v>283</v>
      </c>
      <c r="G77" s="93" t="s">
        <v>284</v>
      </c>
    </row>
    <row r="78" spans="2:12" ht="16">
      <c r="B78" s="99" t="s">
        <v>297</v>
      </c>
      <c r="C78" s="96"/>
      <c r="D78" s="97">
        <v>393.82</v>
      </c>
      <c r="G78" s="123"/>
      <c r="H78" s="87">
        <v>2026</v>
      </c>
      <c r="I78" s="124" t="s">
        <v>285</v>
      </c>
      <c r="J78" s="124" t="s">
        <v>286</v>
      </c>
      <c r="K78" s="124" t="s">
        <v>287</v>
      </c>
      <c r="L78" s="125"/>
    </row>
    <row r="79" spans="2:12" ht="16">
      <c r="B79" s="105" t="s">
        <v>268</v>
      </c>
      <c r="C79" s="102"/>
      <c r="D79" s="126">
        <f>'Full Historical Statements'!I49</f>
        <v>7465</v>
      </c>
      <c r="G79" s="141">
        <v>2009</v>
      </c>
      <c r="H79" s="59"/>
      <c r="I79" s="65">
        <v>520</v>
      </c>
      <c r="J79" s="59">
        <v>2039</v>
      </c>
      <c r="K79" s="59">
        <f>J79-$H$78</f>
        <v>13</v>
      </c>
      <c r="L79" s="127">
        <f>I79*K79</f>
        <v>6760</v>
      </c>
    </row>
    <row r="80" spans="2:12" ht="16">
      <c r="B80" s="105" t="s">
        <v>288</v>
      </c>
      <c r="C80" s="102"/>
      <c r="D80" s="115">
        <f>D78*D79</f>
        <v>2939866.3</v>
      </c>
      <c r="G80" s="128">
        <v>2010</v>
      </c>
      <c r="H80" s="59"/>
      <c r="I80" s="65">
        <v>486</v>
      </c>
      <c r="J80" s="59">
        <v>2040</v>
      </c>
      <c r="K80" s="59">
        <f>J80-$H$78</f>
        <v>14</v>
      </c>
      <c r="L80" s="127">
        <f t="shared" ref="L80:L91" si="12">I80*K80</f>
        <v>6804</v>
      </c>
    </row>
    <row r="81" spans="2:12" ht="16">
      <c r="B81" s="129" t="s">
        <v>289</v>
      </c>
      <c r="C81" s="102"/>
      <c r="D81" s="224">
        <f>D80/(D80+D86)</f>
        <v>0.98553444527458822</v>
      </c>
      <c r="G81" s="128">
        <v>2011</v>
      </c>
      <c r="H81" s="59"/>
      <c r="I81" s="65">
        <v>718</v>
      </c>
      <c r="J81" s="59">
        <v>2041</v>
      </c>
      <c r="K81" s="59">
        <f>J81-$H$78</f>
        <v>15</v>
      </c>
      <c r="L81" s="127">
        <f t="shared" si="12"/>
        <v>10770</v>
      </c>
    </row>
    <row r="82" spans="2:12" ht="16">
      <c r="B82" s="105" t="s">
        <v>290</v>
      </c>
      <c r="C82" s="102"/>
      <c r="D82" s="115">
        <f>'Full Historical Statements'!I154</f>
        <v>2385</v>
      </c>
      <c r="G82" s="128">
        <v>2012</v>
      </c>
      <c r="H82" s="59"/>
      <c r="I82" s="65">
        <v>454</v>
      </c>
      <c r="J82" s="59">
        <v>2042</v>
      </c>
      <c r="K82" s="59">
        <f>J82-$H$78</f>
        <v>16</v>
      </c>
      <c r="L82" s="127">
        <f t="shared" si="12"/>
        <v>7264</v>
      </c>
    </row>
    <row r="83" spans="2:12" ht="16">
      <c r="B83" s="105" t="s">
        <v>291</v>
      </c>
      <c r="C83" s="102"/>
      <c r="D83" s="130">
        <f>D72</f>
        <v>5.5271025005214247E-2</v>
      </c>
      <c r="G83" s="128">
        <v>2013</v>
      </c>
      <c r="H83" s="59"/>
      <c r="I83" s="65">
        <v>314</v>
      </c>
      <c r="J83" s="59">
        <v>2043</v>
      </c>
      <c r="K83" s="59">
        <f>J83-$H$78</f>
        <v>17</v>
      </c>
      <c r="L83" s="127">
        <f t="shared" si="12"/>
        <v>5338</v>
      </c>
    </row>
    <row r="84" spans="2:12" ht="16">
      <c r="B84" s="105" t="s">
        <v>174</v>
      </c>
      <c r="C84" s="102"/>
      <c r="D84" s="115">
        <f>('Simplified Model'!G49+'Simplified Model'!G50+'Simplified Model'!G56)</f>
        <v>43151</v>
      </c>
      <c r="G84" s="128">
        <v>2013</v>
      </c>
      <c r="H84" s="59"/>
      <c r="I84" s="65">
        <v>2700</v>
      </c>
      <c r="J84" s="59">
        <f>(2028+2033)/2</f>
        <v>2030.5</v>
      </c>
      <c r="K84" s="59">
        <f>J84-$H$78</f>
        <v>4.5</v>
      </c>
      <c r="L84" s="127">
        <f t="shared" si="12"/>
        <v>12150</v>
      </c>
    </row>
    <row r="85" spans="2:12" ht="16">
      <c r="B85" s="105" t="s">
        <v>292</v>
      </c>
      <c r="C85" s="102"/>
      <c r="D85" s="115">
        <f>L92/D84</f>
        <v>20.169324001761257</v>
      </c>
      <c r="G85" s="128">
        <v>2015</v>
      </c>
      <c r="H85" s="59"/>
      <c r="I85" s="65">
        <v>7555</v>
      </c>
      <c r="J85" s="59">
        <f>(2025+2055)/2</f>
        <v>2040</v>
      </c>
      <c r="K85" s="59">
        <f>J85-$H$78</f>
        <v>14</v>
      </c>
      <c r="L85" s="127">
        <f t="shared" si="12"/>
        <v>105770</v>
      </c>
    </row>
    <row r="86" spans="2:12" ht="16">
      <c r="B86" s="105" t="s">
        <v>293</v>
      </c>
      <c r="C86" s="102"/>
      <c r="D86" s="115">
        <f>-PV(D83,D85,D82,D84)</f>
        <v>43151.000000000007</v>
      </c>
      <c r="G86" s="128">
        <v>2016</v>
      </c>
      <c r="H86" s="59"/>
      <c r="I86" s="65">
        <v>7930</v>
      </c>
      <c r="J86" s="59">
        <f>(2026+2057)/2</f>
        <v>2041.5</v>
      </c>
      <c r="K86" s="59">
        <f>J86-$H$78</f>
        <v>15.5</v>
      </c>
      <c r="L86" s="127">
        <f t="shared" si="12"/>
        <v>122915</v>
      </c>
    </row>
    <row r="87" spans="2:12" ht="16">
      <c r="B87" s="131" t="s">
        <v>289</v>
      </c>
      <c r="C87" s="108"/>
      <c r="D87" s="109">
        <f>D86/(D80+D86)</f>
        <v>1.4465554725411753E-2</v>
      </c>
      <c r="G87" s="128">
        <v>2017</v>
      </c>
      <c r="H87" s="59"/>
      <c r="I87" s="65">
        <v>6833</v>
      </c>
      <c r="J87" s="59">
        <f>(2026+2057)/2</f>
        <v>2041.5</v>
      </c>
      <c r="K87" s="59">
        <f>J87-$H$78</f>
        <v>15.5</v>
      </c>
      <c r="L87" s="127">
        <f t="shared" si="12"/>
        <v>105911.5</v>
      </c>
    </row>
    <row r="88" spans="2:12">
      <c r="G88" s="128">
        <v>2020</v>
      </c>
      <c r="H88" s="59"/>
      <c r="I88" s="65">
        <v>10111</v>
      </c>
      <c r="J88" s="59">
        <f>(2030+2060)/2</f>
        <v>2045</v>
      </c>
      <c r="K88" s="59">
        <f>J88-$H$78</f>
        <v>19</v>
      </c>
      <c r="L88" s="127">
        <f t="shared" si="12"/>
        <v>192109</v>
      </c>
    </row>
    <row r="89" spans="2:12">
      <c r="G89" s="128">
        <v>2021</v>
      </c>
      <c r="H89" s="59"/>
      <c r="I89" s="65">
        <v>8185</v>
      </c>
      <c r="J89" s="59">
        <f>(2052+2062)/2</f>
        <v>2057</v>
      </c>
      <c r="K89" s="59">
        <f>J89-$H$78</f>
        <v>31</v>
      </c>
      <c r="L89" s="127">
        <f t="shared" si="12"/>
        <v>253735</v>
      </c>
    </row>
    <row r="90" spans="2:12">
      <c r="G90" s="128">
        <v>2023</v>
      </c>
      <c r="H90" s="59"/>
      <c r="I90" s="65">
        <v>56</v>
      </c>
      <c r="J90" s="59">
        <f>(2026+2050)/2</f>
        <v>2038</v>
      </c>
      <c r="K90" s="59">
        <f>J90-$H$78</f>
        <v>12</v>
      </c>
      <c r="L90" s="127">
        <f t="shared" si="12"/>
        <v>672</v>
      </c>
    </row>
    <row r="91" spans="2:12">
      <c r="G91" s="128">
        <v>2024</v>
      </c>
      <c r="H91" s="59"/>
      <c r="I91" s="65">
        <v>3344</v>
      </c>
      <c r="J91" s="59">
        <f>(2026+2050)/2</f>
        <v>2038</v>
      </c>
      <c r="K91" s="59">
        <f>J91-$H$78</f>
        <v>12</v>
      </c>
      <c r="L91" s="127">
        <f t="shared" si="12"/>
        <v>40128</v>
      </c>
    </row>
    <row r="92" spans="2:12">
      <c r="G92" s="86" t="s">
        <v>294</v>
      </c>
      <c r="H92" s="132"/>
      <c r="I92" s="132"/>
      <c r="J92" s="132"/>
      <c r="K92" s="132"/>
      <c r="L92" s="133">
        <f>SUM(L79:L91)</f>
        <v>870326.5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"/>
  <sheetViews>
    <sheetView workbookViewId="0"/>
  </sheetViews>
  <sheetFormatPr baseColWidth="10" defaultColWidth="8.83203125" defaultRowHeight="14"/>
  <cols>
    <col min="1" max="1" width="16" customWidth="1"/>
    <col min="2" max="2" width="52" customWidth="1"/>
    <col min="3" max="3" width="45" customWidth="1"/>
    <col min="4" max="4" width="75" customWidth="1"/>
  </cols>
  <sheetData>
    <row r="1" spans="1:4" ht="114">
      <c r="A1" s="1" t="s">
        <v>201</v>
      </c>
      <c r="B1" s="1"/>
      <c r="C1" s="1"/>
      <c r="D1" s="1"/>
    </row>
    <row r="2" spans="1:4" ht="15">
      <c r="A2" s="2" t="s">
        <v>202</v>
      </c>
      <c r="B2" s="2" t="s">
        <v>203</v>
      </c>
      <c r="C2" s="2"/>
      <c r="D2" s="2"/>
    </row>
    <row r="3" spans="1:4" ht="15">
      <c r="A3" s="2" t="s">
        <v>204</v>
      </c>
      <c r="B3" s="2" t="s">
        <v>205</v>
      </c>
      <c r="C3" s="2"/>
      <c r="D3" s="2"/>
    </row>
    <row r="4" spans="1:4" ht="15">
      <c r="A4" s="2" t="s">
        <v>206</v>
      </c>
      <c r="B4" s="2" t="s">
        <v>207</v>
      </c>
      <c r="C4" s="2"/>
      <c r="D4" s="2"/>
    </row>
    <row r="5" spans="1:4">
      <c r="A5" s="2"/>
      <c r="B5" s="2"/>
      <c r="C5" s="2"/>
      <c r="D5" s="2"/>
    </row>
    <row r="6" spans="1:4" ht="16">
      <c r="A6" s="3" t="s">
        <v>208</v>
      </c>
      <c r="B6" s="3" t="s">
        <v>209</v>
      </c>
      <c r="C6" s="3" t="s">
        <v>210</v>
      </c>
      <c r="D6" s="3" t="s">
        <v>211</v>
      </c>
    </row>
    <row r="7" spans="1:4" ht="15">
      <c r="A7" s="2" t="s">
        <v>22</v>
      </c>
      <c r="B7" s="2" t="s">
        <v>212</v>
      </c>
      <c r="C7" s="2" t="s">
        <v>213</v>
      </c>
      <c r="D7" s="2" t="s">
        <v>214</v>
      </c>
    </row>
    <row r="8" spans="1:4" ht="30">
      <c r="A8" s="2" t="s">
        <v>23</v>
      </c>
      <c r="B8" s="2" t="s">
        <v>215</v>
      </c>
      <c r="C8" s="2" t="s">
        <v>216</v>
      </c>
      <c r="D8" s="2" t="s">
        <v>217</v>
      </c>
    </row>
    <row r="9" spans="1:4" ht="30">
      <c r="A9" s="2" t="s">
        <v>24</v>
      </c>
      <c r="B9" s="2" t="s">
        <v>218</v>
      </c>
      <c r="C9" s="2" t="s">
        <v>219</v>
      </c>
      <c r="D9" s="2" t="s">
        <v>220</v>
      </c>
    </row>
    <row r="10" spans="1:4" ht="15">
      <c r="A10" s="2" t="s">
        <v>25</v>
      </c>
      <c r="B10" s="2" t="s">
        <v>221</v>
      </c>
      <c r="C10" s="2" t="s">
        <v>222</v>
      </c>
      <c r="D10" s="2" t="s">
        <v>220</v>
      </c>
    </row>
    <row r="11" spans="1:4" ht="15">
      <c r="A11" s="2" t="s">
        <v>26</v>
      </c>
      <c r="B11" s="2" t="s">
        <v>223</v>
      </c>
      <c r="C11" s="2" t="s">
        <v>222</v>
      </c>
      <c r="D11" s="2" t="s">
        <v>220</v>
      </c>
    </row>
    <row r="12" spans="1:4">
      <c r="A12" s="2"/>
      <c r="B12" s="2"/>
      <c r="C12" s="2"/>
      <c r="D12" s="2"/>
    </row>
    <row r="13" spans="1:4" ht="30">
      <c r="A13" s="2" t="s">
        <v>224</v>
      </c>
      <c r="B13" s="2" t="s">
        <v>225</v>
      </c>
      <c r="C13" s="2"/>
      <c r="D13" s="2"/>
    </row>
    <row r="14" spans="1:4" ht="45">
      <c r="A14" s="2" t="s">
        <v>226</v>
      </c>
      <c r="B14" s="2" t="s">
        <v>227</v>
      </c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  <row r="21" spans="1:4">
      <c r="A21" s="2"/>
      <c r="B21" s="2"/>
      <c r="C21" s="2"/>
      <c r="D21" s="2"/>
    </row>
    <row r="22" spans="1:4">
      <c r="A22" s="2"/>
      <c r="B22" s="2"/>
      <c r="C22" s="2"/>
      <c r="D22" s="2"/>
    </row>
    <row r="23" spans="1:4">
      <c r="A23" s="2"/>
      <c r="B23" s="2"/>
      <c r="C23" s="2"/>
      <c r="D23" s="2"/>
    </row>
    <row r="24" spans="1:4">
      <c r="A24" s="2"/>
      <c r="B24" s="2"/>
      <c r="C24" s="2"/>
      <c r="D24" s="2"/>
    </row>
    <row r="25" spans="1:4">
      <c r="A25" s="2"/>
      <c r="B25" s="2"/>
      <c r="C25" s="2"/>
      <c r="D25" s="2"/>
    </row>
    <row r="26" spans="1:4">
      <c r="A26" s="2"/>
      <c r="B26" s="2"/>
      <c r="C26" s="2"/>
      <c r="D26" s="2"/>
    </row>
    <row r="27" spans="1:4">
      <c r="A27" s="2"/>
      <c r="B27" s="2"/>
      <c r="C27" s="2"/>
      <c r="D27" s="2"/>
    </row>
    <row r="28" spans="1:4">
      <c r="A28" s="2"/>
      <c r="B28" s="2"/>
      <c r="C28" s="2"/>
      <c r="D28" s="2"/>
    </row>
    <row r="29" spans="1:4">
      <c r="A29" s="2"/>
      <c r="B29" s="2"/>
      <c r="C29" s="2"/>
      <c r="D29" s="2"/>
    </row>
    <row r="30" spans="1:4">
      <c r="A30" s="2"/>
      <c r="B30" s="2"/>
      <c r="C30" s="2"/>
      <c r="D30" s="2"/>
    </row>
    <row r="31" spans="1:4">
      <c r="A31" s="2"/>
      <c r="B31" s="2"/>
      <c r="C31" s="2"/>
      <c r="D31" s="2"/>
    </row>
    <row r="32" spans="1:4">
      <c r="A32" s="2"/>
      <c r="B32" s="2"/>
      <c r="C32" s="2"/>
      <c r="D32" s="2"/>
    </row>
    <row r="33" spans="1:4">
      <c r="A33" s="2"/>
      <c r="B33" s="2"/>
      <c r="C33" s="2"/>
      <c r="D33" s="2"/>
    </row>
    <row r="34" spans="1:4">
      <c r="A34" s="2"/>
      <c r="B34" s="2"/>
      <c r="C34" s="2"/>
      <c r="D34" s="2"/>
    </row>
    <row r="35" spans="1:4">
      <c r="A35" s="2"/>
      <c r="B35" s="2"/>
      <c r="C35" s="2"/>
      <c r="D35" s="2"/>
    </row>
    <row r="36" spans="1:4">
      <c r="A36" s="2"/>
      <c r="B36" s="2"/>
      <c r="C36" s="2"/>
      <c r="D36" s="2"/>
    </row>
    <row r="37" spans="1:4">
      <c r="A37" s="2"/>
      <c r="B37" s="2"/>
      <c r="C37" s="2"/>
      <c r="D37" s="2"/>
    </row>
    <row r="38" spans="1:4">
      <c r="A38" s="2"/>
      <c r="B38" s="2"/>
      <c r="C38" s="2"/>
      <c r="D38" s="2"/>
    </row>
    <row r="39" spans="1:4">
      <c r="A39" s="2"/>
      <c r="B39" s="2"/>
      <c r="C39" s="2"/>
      <c r="D39" s="2"/>
    </row>
    <row r="40" spans="1:4">
      <c r="A40" s="2"/>
      <c r="B40" s="2"/>
      <c r="C40" s="2"/>
      <c r="D40" s="2"/>
    </row>
    <row r="41" spans="1:4">
      <c r="A41" s="2"/>
      <c r="B41" s="2"/>
      <c r="C41" s="2"/>
      <c r="D41" s="2"/>
    </row>
    <row r="42" spans="1:4">
      <c r="A42" s="2"/>
      <c r="B42" s="2"/>
      <c r="C42" s="2"/>
      <c r="D42" s="2"/>
    </row>
    <row r="43" spans="1:4">
      <c r="A43" s="2"/>
      <c r="B43" s="2"/>
      <c r="C43" s="2"/>
      <c r="D43" s="2"/>
    </row>
    <row r="44" spans="1:4">
      <c r="A44" s="2"/>
      <c r="B44" s="2"/>
      <c r="C44" s="2"/>
      <c r="D44" s="2"/>
    </row>
    <row r="45" spans="1:4">
      <c r="A45" s="2"/>
      <c r="B45" s="2"/>
      <c r="C45" s="2"/>
      <c r="D45" s="2"/>
    </row>
    <row r="46" spans="1:4">
      <c r="A46" s="2"/>
      <c r="B46" s="2"/>
      <c r="C46" s="2"/>
      <c r="D46" s="2"/>
    </row>
    <row r="47" spans="1:4">
      <c r="A47" s="2"/>
      <c r="B47" s="2"/>
      <c r="C47" s="2"/>
      <c r="D47" s="2"/>
    </row>
    <row r="48" spans="1:4">
      <c r="A48" s="2"/>
      <c r="B48" s="2"/>
      <c r="C48" s="2"/>
      <c r="D48" s="2"/>
    </row>
    <row r="49" spans="1:4">
      <c r="A49" s="2"/>
      <c r="B49" s="2"/>
      <c r="C49" s="2"/>
      <c r="D49" s="2"/>
    </row>
    <row r="50" spans="1:4">
      <c r="A50" s="2"/>
      <c r="B50" s="2"/>
      <c r="C50" s="2"/>
      <c r="D50" s="2"/>
    </row>
    <row r="51" spans="1:4">
      <c r="A51" s="2"/>
      <c r="B51" s="2"/>
      <c r="C51" s="2"/>
      <c r="D51" s="2"/>
    </row>
    <row r="52" spans="1:4">
      <c r="A52" s="2"/>
      <c r="B52" s="2"/>
      <c r="C52" s="2"/>
      <c r="D52" s="2"/>
    </row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  <row r="56" spans="1:4">
      <c r="A56" s="2"/>
      <c r="B56" s="2"/>
      <c r="C56" s="2"/>
      <c r="D56" s="2"/>
    </row>
    <row r="57" spans="1:4">
      <c r="A57" s="2"/>
      <c r="B57" s="2"/>
      <c r="C57" s="2"/>
      <c r="D57" s="2"/>
    </row>
    <row r="58" spans="1:4">
      <c r="A58" s="2"/>
      <c r="B58" s="2"/>
      <c r="C58" s="2"/>
      <c r="D58" s="2"/>
    </row>
    <row r="59" spans="1:4">
      <c r="A59" s="2"/>
      <c r="B59" s="2"/>
      <c r="C59" s="2"/>
      <c r="D59" s="2"/>
    </row>
    <row r="60" spans="1:4">
      <c r="A60" s="2"/>
      <c r="B60" s="2"/>
      <c r="C60" s="2"/>
      <c r="D60" s="2"/>
    </row>
    <row r="61" spans="1:4">
      <c r="A61" s="2"/>
      <c r="B61" s="2"/>
      <c r="C61" s="2"/>
      <c r="D61" s="2"/>
    </row>
    <row r="62" spans="1:4">
      <c r="A62" s="2"/>
      <c r="B62" s="2"/>
      <c r="C62" s="2"/>
      <c r="D62" s="2"/>
    </row>
    <row r="63" spans="1:4">
      <c r="A63" s="2"/>
      <c r="B63" s="2"/>
      <c r="C63" s="2"/>
      <c r="D63" s="2"/>
    </row>
    <row r="64" spans="1:4">
      <c r="A64" s="2"/>
      <c r="B64" s="2"/>
      <c r="C64" s="2"/>
      <c r="D64" s="2"/>
    </row>
    <row r="65" spans="1:4">
      <c r="A65" s="2"/>
      <c r="B65" s="2"/>
      <c r="C65" s="2"/>
      <c r="D65" s="2"/>
    </row>
    <row r="66" spans="1:4">
      <c r="A66" s="2"/>
      <c r="B66" s="2"/>
      <c r="C66" s="2"/>
      <c r="D66" s="2"/>
    </row>
    <row r="67" spans="1:4">
      <c r="A67" s="2"/>
      <c r="B67" s="2"/>
      <c r="C67" s="2"/>
      <c r="D67" s="2"/>
    </row>
    <row r="68" spans="1:4">
      <c r="A68" s="2"/>
      <c r="B68" s="2"/>
      <c r="C68" s="2"/>
      <c r="D68" s="2"/>
    </row>
    <row r="69" spans="1:4">
      <c r="A69" s="2"/>
      <c r="B69" s="2"/>
      <c r="C69" s="2"/>
      <c r="D69" s="2"/>
    </row>
    <row r="70" spans="1:4">
      <c r="A70" s="2"/>
      <c r="B70" s="2"/>
      <c r="C70" s="2"/>
      <c r="D70" s="2"/>
    </row>
    <row r="71" spans="1:4">
      <c r="A71" s="2"/>
      <c r="B71" s="2"/>
      <c r="C71" s="2"/>
      <c r="D71" s="2"/>
    </row>
    <row r="72" spans="1:4">
      <c r="A72" s="2"/>
      <c r="B72" s="2"/>
      <c r="C72" s="2"/>
      <c r="D72" s="2"/>
    </row>
    <row r="73" spans="1:4">
      <c r="A73" s="2"/>
      <c r="B73" s="2"/>
      <c r="C73" s="2"/>
      <c r="D73" s="2"/>
    </row>
    <row r="74" spans="1:4">
      <c r="A74" s="2"/>
      <c r="B74" s="2"/>
      <c r="C74" s="2"/>
      <c r="D74" s="2"/>
    </row>
    <row r="75" spans="1:4">
      <c r="A75" s="2"/>
      <c r="B75" s="2"/>
      <c r="C75" s="2"/>
      <c r="D75" s="2"/>
    </row>
    <row r="76" spans="1:4">
      <c r="A76" s="2"/>
      <c r="B76" s="2"/>
      <c r="C76" s="2"/>
      <c r="D76" s="2"/>
    </row>
    <row r="77" spans="1:4">
      <c r="A77" s="2"/>
      <c r="B77" s="2"/>
      <c r="C77" s="2"/>
      <c r="D77" s="2"/>
    </row>
    <row r="78" spans="1:4">
      <c r="A78" s="2"/>
      <c r="B78" s="2"/>
      <c r="C78" s="2"/>
      <c r="D78" s="2"/>
    </row>
    <row r="79" spans="1:4">
      <c r="A79" s="2"/>
      <c r="B79" s="2"/>
      <c r="C79" s="2"/>
      <c r="D79" s="2"/>
    </row>
    <row r="80" spans="1:4">
      <c r="A80" s="2"/>
      <c r="B80" s="2"/>
      <c r="C80" s="2"/>
      <c r="D80" s="2"/>
    </row>
    <row r="81" spans="1:4">
      <c r="A81" s="2"/>
      <c r="B81" s="2"/>
      <c r="C81" s="2"/>
      <c r="D81" s="2"/>
    </row>
    <row r="82" spans="1:4">
      <c r="A82" s="2"/>
      <c r="B82" s="2"/>
      <c r="C82" s="2"/>
      <c r="D82" s="2"/>
    </row>
    <row r="83" spans="1:4">
      <c r="A83" s="2"/>
      <c r="B83" s="2"/>
      <c r="C83" s="2"/>
      <c r="D83" s="2"/>
    </row>
    <row r="84" spans="1:4">
      <c r="A84" s="2"/>
      <c r="B84" s="2"/>
      <c r="C84" s="2"/>
      <c r="D84" s="2"/>
    </row>
    <row r="85" spans="1:4">
      <c r="A85" s="2"/>
      <c r="B85" s="2"/>
      <c r="C85" s="2"/>
      <c r="D85" s="2"/>
    </row>
    <row r="86" spans="1:4">
      <c r="A86" s="2"/>
      <c r="B86" s="2"/>
      <c r="C86" s="2"/>
      <c r="D86" s="2"/>
    </row>
    <row r="87" spans="1:4">
      <c r="A87" s="2"/>
      <c r="B87" s="2"/>
      <c r="C87" s="2"/>
      <c r="D87" s="2"/>
    </row>
    <row r="88" spans="1:4">
      <c r="A88" s="2"/>
      <c r="B88" s="2"/>
      <c r="C88" s="2"/>
      <c r="D88" s="2"/>
    </row>
    <row r="89" spans="1:4">
      <c r="A89" s="2"/>
      <c r="B89" s="2"/>
      <c r="C89" s="2"/>
      <c r="D89" s="2"/>
    </row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  <row r="93" spans="1:4">
      <c r="A93" s="2"/>
      <c r="B93" s="2"/>
      <c r="C93" s="2"/>
      <c r="D93" s="2"/>
    </row>
    <row r="94" spans="1:4">
      <c r="A94" s="2"/>
      <c r="B94" s="2"/>
      <c r="C94" s="2"/>
      <c r="D94" s="2"/>
    </row>
    <row r="95" spans="1:4">
      <c r="A95" s="2"/>
      <c r="B95" s="2"/>
      <c r="C95" s="2"/>
      <c r="D95" s="2"/>
    </row>
    <row r="96" spans="1:4">
      <c r="A96" s="2"/>
      <c r="B96" s="2"/>
      <c r="C96" s="2"/>
      <c r="D96" s="2"/>
    </row>
    <row r="97" spans="1:4">
      <c r="A97" s="2"/>
      <c r="B97" s="2"/>
      <c r="C97" s="2"/>
      <c r="D97" s="2"/>
    </row>
    <row r="98" spans="1:4">
      <c r="A98" s="2"/>
      <c r="B98" s="2"/>
      <c r="C98" s="2"/>
      <c r="D98" s="2"/>
    </row>
    <row r="99" spans="1:4">
      <c r="A99" s="2"/>
      <c r="B99" s="2"/>
      <c r="C99" s="2"/>
      <c r="D99" s="2"/>
    </row>
    <row r="100" spans="1:4">
      <c r="A100" s="2"/>
      <c r="B100" s="2"/>
      <c r="C100" s="2"/>
      <c r="D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Full Historical Statements</vt:lpstr>
      <vt:lpstr>Simplified Model</vt:lpstr>
      <vt:lpstr>Ratios</vt:lpstr>
      <vt:lpstr>Valuation</vt:lpstr>
      <vt:lpstr>DCF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M</cp:lastModifiedBy>
  <dcterms:created xsi:type="dcterms:W3CDTF">2026-07-18T20:35:16Z</dcterms:created>
  <dcterms:modified xsi:type="dcterms:W3CDTF">2026-07-20T09:55:00Z</dcterms:modified>
</cp:coreProperties>
</file>