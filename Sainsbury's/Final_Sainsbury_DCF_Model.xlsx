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11"/>
  <workbookPr/>
  <mc:AlternateContent xmlns:mc="http://schemas.openxmlformats.org/markup-compatibility/2006">
    <mc:Choice Requires="x15">
      <x15ac:absPath xmlns:x15ac="http://schemas.microsoft.com/office/spreadsheetml/2010/11/ac" url="/Users/teamdojo/Desktop/Prep/Sainsbury's/"/>
    </mc:Choice>
  </mc:AlternateContent>
  <xr:revisionPtr revIDLastSave="0" documentId="8_{5BEB56CB-4D2E-3448-BFA8-289403913BA5}" xr6:coauthVersionLast="47" xr6:coauthVersionMax="47" xr10:uidLastSave="{00000000-0000-0000-0000-000000000000}"/>
  <bookViews>
    <workbookView xWindow="30980" yWindow="900" windowWidth="28780" windowHeight="16260" xr2:uid="{00000000-000D-0000-FFFF-FFFF00000000}"/>
  </bookViews>
  <sheets>
    <sheet name="Historical" sheetId="1" r:id="rId1"/>
    <sheet name="Assumptions" sheetId="6" r:id="rId2"/>
    <sheet name="DCF" sheetId="7" r:id="rId3"/>
    <sheet name="Supporting Schedules" sheetId="3" r:id="rId4"/>
    <sheet name="Source Notes" sheetId="4" r:id="rId5"/>
  </sheets>
  <calcPr calcId="191029"/>
  <extLst>
    <ext xmlns:xcalcf="http://schemas.microsoft.com/office/spreadsheetml/2018/calcfeatures" uri="{B58B0392-4F1F-4190-BB64-5DF3571DCE5F}">
      <xcalcf:calcFeatures>
        <xcalcf:feature name="microsoft.com:RD"/>
        <xcalcf:feature name="microsoft.com:FV"/>
        <xcalcf:feature name="microsoft.com:LET_WF"/>
        <xcalcf:feature name="microsoft.com:LAMBDA_WF"/>
      </xcalcf:calcFeatures>
    </ext>
  </extLst>
</workbook>
</file>

<file path=xl/calcChain.xml><?xml version="1.0" encoding="utf-8"?>
<calcChain xmlns="http://schemas.openxmlformats.org/spreadsheetml/2006/main">
  <c r="D61" i="7" l="1"/>
  <c r="D62" i="7"/>
  <c r="I48" i="3"/>
  <c r="H48" i="3"/>
  <c r="H42" i="3"/>
  <c r="L27" i="3"/>
  <c r="V82" i="7"/>
  <c r="V83" i="7"/>
  <c r="V81" i="7"/>
  <c r="Q83" i="7"/>
  <c r="Q82" i="7"/>
  <c r="Q81" i="7"/>
  <c r="Q80" i="7"/>
  <c r="S66" i="7"/>
  <c r="U65" i="7"/>
  <c r="V65" i="7" s="1"/>
  <c r="W65" i="7" s="1"/>
  <c r="X65" i="7" s="1"/>
  <c r="Y65" i="7" s="1"/>
  <c r="Z65" i="7" s="1"/>
  <c r="S67" i="7"/>
  <c r="S68" i="7" s="1"/>
  <c r="S69" i="7" s="1"/>
  <c r="S70" i="7" s="1"/>
  <c r="G46" i="6"/>
  <c r="H46" i="6"/>
  <c r="I46" i="6"/>
  <c r="J46" i="6"/>
  <c r="G47" i="6"/>
  <c r="H47" i="6"/>
  <c r="I47" i="6"/>
  <c r="J47" i="6"/>
  <c r="G48" i="6"/>
  <c r="H48" i="6"/>
  <c r="I48" i="6"/>
  <c r="J48" i="6"/>
  <c r="G49" i="6"/>
  <c r="H49" i="6"/>
  <c r="I49" i="6"/>
  <c r="J49" i="6"/>
  <c r="G50" i="6"/>
  <c r="H50" i="6"/>
  <c r="I50" i="6"/>
  <c r="J50" i="6"/>
  <c r="G51" i="6"/>
  <c r="H51" i="6"/>
  <c r="I51" i="6"/>
  <c r="J51" i="6"/>
  <c r="G52" i="6"/>
  <c r="H52" i="6"/>
  <c r="I52" i="6"/>
  <c r="J52" i="6"/>
  <c r="G53" i="6"/>
  <c r="H53" i="6"/>
  <c r="I53" i="6"/>
  <c r="J53" i="6"/>
  <c r="G54" i="6"/>
  <c r="H54" i="6"/>
  <c r="I54" i="6"/>
  <c r="J54" i="6"/>
  <c r="G55" i="6"/>
  <c r="H55" i="6"/>
  <c r="I55" i="6"/>
  <c r="J55" i="6"/>
  <c r="G56" i="6"/>
  <c r="H56" i="6"/>
  <c r="I56" i="6"/>
  <c r="J56" i="6"/>
  <c r="F56" i="6"/>
  <c r="F55" i="6"/>
  <c r="F54" i="6"/>
  <c r="F53" i="6"/>
  <c r="F52" i="6"/>
  <c r="F51" i="6"/>
  <c r="F50" i="6"/>
  <c r="F49" i="6"/>
  <c r="F48" i="6"/>
  <c r="F47" i="6"/>
  <c r="I13" i="1" s="1"/>
  <c r="F46" i="6"/>
  <c r="G45" i="6"/>
  <c r="H45" i="6"/>
  <c r="I45" i="6"/>
  <c r="J45" i="6"/>
  <c r="F45" i="6"/>
  <c r="I7" i="1" s="1"/>
  <c r="J7" i="1" s="1"/>
  <c r="I76" i="1"/>
  <c r="J76" i="1" s="1"/>
  <c r="G38" i="7"/>
  <c r="H38" i="7"/>
  <c r="F38" i="7"/>
  <c r="G35" i="7"/>
  <c r="H35" i="7"/>
  <c r="F35" i="7"/>
  <c r="G18" i="7"/>
  <c r="H18" i="7"/>
  <c r="F18" i="7"/>
  <c r="D83" i="7"/>
  <c r="I67" i="7"/>
  <c r="I66" i="7"/>
  <c r="G15" i="7"/>
  <c r="H15" i="7"/>
  <c r="F15" i="7"/>
  <c r="I68" i="7"/>
  <c r="G22" i="7"/>
  <c r="H22" i="7"/>
  <c r="F22" i="7"/>
  <c r="J13" i="1" l="1"/>
  <c r="K13" i="1" s="1"/>
  <c r="L13" i="1" s="1"/>
  <c r="M13" i="1" s="1"/>
  <c r="K7" i="1"/>
  <c r="L7" i="1" s="1"/>
  <c r="M7" i="1" s="1"/>
  <c r="H9" i="7"/>
  <c r="G9" i="7"/>
  <c r="G12" i="7"/>
  <c r="H12" i="7"/>
  <c r="F12" i="7"/>
  <c r="G11" i="7"/>
  <c r="H11" i="7"/>
  <c r="F11" i="7"/>
  <c r="K85" i="7"/>
  <c r="L85" i="7" s="1"/>
  <c r="K84" i="7"/>
  <c r="L84" i="7" s="1"/>
  <c r="K83" i="7"/>
  <c r="L83" i="7" s="1"/>
  <c r="K82" i="7"/>
  <c r="L82" i="7" s="1"/>
  <c r="K81" i="7"/>
  <c r="L81" i="7" s="1"/>
  <c r="K80" i="7"/>
  <c r="L80" i="7" s="1"/>
  <c r="D81" i="7"/>
  <c r="D69" i="7"/>
  <c r="D85" i="7"/>
  <c r="N60" i="7"/>
  <c r="K107" i="1"/>
  <c r="J75" i="1"/>
  <c r="K75" i="1" s="1"/>
  <c r="L75" i="1" s="1"/>
  <c r="M75" i="1" s="1"/>
  <c r="K76" i="1"/>
  <c r="L76" i="1" s="1"/>
  <c r="M76" i="1" s="1"/>
  <c r="I107" i="1"/>
  <c r="J74" i="1"/>
  <c r="K74" i="1" s="1"/>
  <c r="L74" i="1" s="1"/>
  <c r="M74" i="1" s="1"/>
  <c r="I77" i="1"/>
  <c r="J77" i="1" s="1"/>
  <c r="K77" i="1" s="1"/>
  <c r="L77" i="1" s="1"/>
  <c r="M77" i="1" s="1"/>
  <c r="I75" i="1"/>
  <c r="I74" i="1"/>
  <c r="J22" i="1"/>
  <c r="J21" i="7" s="1"/>
  <c r="J33" i="7" s="1"/>
  <c r="K22" i="1"/>
  <c r="K21" i="7" s="1"/>
  <c r="K33" i="7" s="1"/>
  <c r="L22" i="1"/>
  <c r="L21" i="7" s="1"/>
  <c r="L33" i="7" s="1"/>
  <c r="M22" i="1"/>
  <c r="M21" i="7" s="1"/>
  <c r="M33" i="7" s="1"/>
  <c r="I22" i="1"/>
  <c r="I21" i="7" s="1"/>
  <c r="D74" i="7" s="1"/>
  <c r="J114" i="1"/>
  <c r="K114" i="1"/>
  <c r="L114" i="1"/>
  <c r="M114" i="1"/>
  <c r="I114" i="1"/>
  <c r="I111" i="1"/>
  <c r="I17" i="1"/>
  <c r="J107" i="1"/>
  <c r="L107" i="1"/>
  <c r="M107" i="1"/>
  <c r="F35" i="3"/>
  <c r="G35" i="3"/>
  <c r="H35" i="3"/>
  <c r="I35" i="3"/>
  <c r="E35" i="3"/>
  <c r="H31" i="3"/>
  <c r="I31" i="3"/>
  <c r="J31" i="3"/>
  <c r="K31" i="3"/>
  <c r="L31" i="3"/>
  <c r="G31" i="3"/>
  <c r="I27" i="3"/>
  <c r="J27" i="3"/>
  <c r="K27" i="3"/>
  <c r="G27" i="3"/>
  <c r="H27" i="3"/>
  <c r="H17" i="3"/>
  <c r="I71" i="1"/>
  <c r="J71" i="1" s="1"/>
  <c r="I70" i="1"/>
  <c r="I69" i="1"/>
  <c r="J69" i="1" s="1"/>
  <c r="K69" i="1" s="1"/>
  <c r="L69" i="1" s="1"/>
  <c r="M69" i="1" s="1"/>
  <c r="I68" i="1"/>
  <c r="J68" i="1" s="1"/>
  <c r="K68" i="1" s="1"/>
  <c r="L68" i="1" s="1"/>
  <c r="M68" i="1" s="1"/>
  <c r="I64" i="1"/>
  <c r="J64" i="1" s="1"/>
  <c r="K64" i="1" s="1"/>
  <c r="L64" i="1" s="1"/>
  <c r="M64" i="1" s="1"/>
  <c r="I63" i="1"/>
  <c r="J63" i="1" s="1"/>
  <c r="K63" i="1" s="1"/>
  <c r="L63" i="1" s="1"/>
  <c r="M63" i="1" s="1"/>
  <c r="I58" i="1"/>
  <c r="J58" i="1" s="1"/>
  <c r="K58" i="1" s="1"/>
  <c r="L58" i="1" s="1"/>
  <c r="M58" i="1" s="1"/>
  <c r="I57" i="1"/>
  <c r="J57" i="1" s="1"/>
  <c r="K57" i="1" s="1"/>
  <c r="L57" i="1" s="1"/>
  <c r="M57" i="1" s="1"/>
  <c r="I45" i="1"/>
  <c r="J45" i="1" s="1"/>
  <c r="K45" i="1" s="1"/>
  <c r="L45" i="1" s="1"/>
  <c r="I39" i="1"/>
  <c r="J39" i="1" s="1"/>
  <c r="K39" i="1" s="1"/>
  <c r="L39" i="1" s="1"/>
  <c r="M39" i="1" s="1"/>
  <c r="I38" i="1"/>
  <c r="J38" i="1" s="1"/>
  <c r="K38" i="1" s="1"/>
  <c r="L38" i="1" s="1"/>
  <c r="M38" i="1" s="1"/>
  <c r="I36" i="1"/>
  <c r="J36" i="1" s="1"/>
  <c r="K36" i="1" s="1"/>
  <c r="L36" i="1" s="1"/>
  <c r="M36" i="1" s="1"/>
  <c r="I35" i="1"/>
  <c r="J35" i="1" s="1"/>
  <c r="K35" i="1" s="1"/>
  <c r="J95" i="1"/>
  <c r="K95" i="1"/>
  <c r="L95" i="1"/>
  <c r="M95" i="1"/>
  <c r="I95" i="1"/>
  <c r="C91" i="3"/>
  <c r="D86" i="3" s="1"/>
  <c r="D91" i="3" s="1"/>
  <c r="C84" i="3"/>
  <c r="I56" i="3"/>
  <c r="J56" i="3"/>
  <c r="K56" i="3"/>
  <c r="L56" i="3"/>
  <c r="H56" i="3"/>
  <c r="C60" i="3"/>
  <c r="D55" i="3" s="1"/>
  <c r="D60" i="3" s="1"/>
  <c r="E55" i="3" s="1"/>
  <c r="E60" i="3" s="1"/>
  <c r="I7" i="3"/>
  <c r="J7" i="3"/>
  <c r="K7" i="3"/>
  <c r="L7" i="3"/>
  <c r="H7" i="3"/>
  <c r="J93" i="1"/>
  <c r="I74" i="3" s="1"/>
  <c r="J36" i="7" s="1"/>
  <c r="K93" i="1"/>
  <c r="J74" i="3" s="1"/>
  <c r="K36" i="7" s="1"/>
  <c r="L93" i="1"/>
  <c r="M93" i="1"/>
  <c r="L74" i="3" s="1"/>
  <c r="M36" i="7" s="1"/>
  <c r="I93" i="1"/>
  <c r="H74" i="3" s="1"/>
  <c r="I36" i="7" s="1"/>
  <c r="J86" i="1"/>
  <c r="K86" i="1"/>
  <c r="L86" i="1"/>
  <c r="M86" i="1"/>
  <c r="I86" i="1"/>
  <c r="D74" i="3"/>
  <c r="E74" i="3"/>
  <c r="F36" i="7" s="1"/>
  <c r="F74" i="3"/>
  <c r="G36" i="7" s="1"/>
  <c r="G74" i="3"/>
  <c r="H36" i="7" s="1"/>
  <c r="C74" i="3"/>
  <c r="H13" i="7" l="1"/>
  <c r="H16" i="7" s="1"/>
  <c r="H19" i="7" s="1"/>
  <c r="F13" i="7"/>
  <c r="F16" i="7" s="1"/>
  <c r="F19" i="7" s="1"/>
  <c r="K74" i="3"/>
  <c r="L36" i="7" s="1"/>
  <c r="J70" i="1"/>
  <c r="K70" i="1" s="1"/>
  <c r="L70" i="1" s="1"/>
  <c r="M70" i="1" s="1"/>
  <c r="K71" i="1"/>
  <c r="L71" i="1" s="1"/>
  <c r="M71" i="1" s="1"/>
  <c r="H75" i="3"/>
  <c r="I18" i="7" s="1"/>
  <c r="I9" i="7" s="1"/>
  <c r="I35" i="7"/>
  <c r="I75" i="3"/>
  <c r="J18" i="7" s="1"/>
  <c r="J35" i="7"/>
  <c r="L75" i="3"/>
  <c r="M18" i="7" s="1"/>
  <c r="N18" i="7" s="1"/>
  <c r="M35" i="7"/>
  <c r="K75" i="3"/>
  <c r="L18" i="7" s="1"/>
  <c r="L35" i="7"/>
  <c r="J75" i="3"/>
  <c r="K18" i="7" s="1"/>
  <c r="K35" i="7"/>
  <c r="G13" i="7"/>
  <c r="G16" i="7" s="1"/>
  <c r="G19" i="7" s="1"/>
  <c r="L86" i="7"/>
  <c r="D86" i="7" s="1"/>
  <c r="H6" i="7"/>
  <c r="G7" i="7"/>
  <c r="I33" i="7"/>
  <c r="H7" i="7"/>
  <c r="G32" i="7"/>
  <c r="H32" i="7"/>
  <c r="I69" i="7"/>
  <c r="I74" i="7" s="1"/>
  <c r="F6" i="7"/>
  <c r="F7" i="7"/>
  <c r="G5" i="7"/>
  <c r="G6" i="7"/>
  <c r="H5" i="7"/>
  <c r="J17" i="1"/>
  <c r="L99" i="1"/>
  <c r="I99" i="1"/>
  <c r="J99" i="1"/>
  <c r="M99" i="1"/>
  <c r="K99" i="1"/>
  <c r="H11" i="3"/>
  <c r="L11" i="3"/>
  <c r="M45" i="1"/>
  <c r="L35" i="1"/>
  <c r="E86" i="3"/>
  <c r="C93" i="3"/>
  <c r="D80" i="3"/>
  <c r="F55" i="3"/>
  <c r="F60" i="3" s="1"/>
  <c r="G55" i="3" s="1"/>
  <c r="G60" i="3" s="1"/>
  <c r="H55" i="3" s="1"/>
  <c r="H58" i="3" s="1"/>
  <c r="C76" i="3"/>
  <c r="D73" i="3" s="1"/>
  <c r="D76" i="3" s="1"/>
  <c r="E73" i="3" s="1"/>
  <c r="E76" i="3" s="1"/>
  <c r="F73" i="3" s="1"/>
  <c r="J9" i="7" l="1"/>
  <c r="L9" i="7"/>
  <c r="K9" i="7"/>
  <c r="M9" i="7"/>
  <c r="F32" i="7"/>
  <c r="K17" i="1"/>
  <c r="E91" i="3"/>
  <c r="F86" i="3" s="1"/>
  <c r="F91" i="3" s="1"/>
  <c r="G86" i="3" s="1"/>
  <c r="G91" i="3" s="1"/>
  <c r="H86" i="3" s="1"/>
  <c r="H87" i="3" s="1"/>
  <c r="M35" i="1"/>
  <c r="D84" i="3"/>
  <c r="E80" i="3" s="1"/>
  <c r="H60" i="3"/>
  <c r="I32" i="1" s="1"/>
  <c r="F76" i="3"/>
  <c r="G73" i="3" s="1"/>
  <c r="G76" i="3" s="1"/>
  <c r="H73" i="3" s="1"/>
  <c r="H76" i="3" s="1"/>
  <c r="L17" i="1" l="1"/>
  <c r="M17" i="1" s="1"/>
  <c r="D93" i="3"/>
  <c r="E84" i="3"/>
  <c r="F80" i="3" s="1"/>
  <c r="F84" i="3" s="1"/>
  <c r="F93" i="3" s="1"/>
  <c r="I55" i="3"/>
  <c r="I58" i="3" s="1"/>
  <c r="I60" i="3" s="1"/>
  <c r="J32" i="1" s="1"/>
  <c r="I73" i="3"/>
  <c r="I76" i="3" s="1"/>
  <c r="I31" i="1"/>
  <c r="E93" i="3" l="1"/>
  <c r="G80" i="3"/>
  <c r="J55" i="3"/>
  <c r="J58" i="3" s="1"/>
  <c r="J60" i="3" s="1"/>
  <c r="J73" i="3"/>
  <c r="J76" i="3" s="1"/>
  <c r="J31" i="1"/>
  <c r="G84" i="3" l="1"/>
  <c r="K55" i="3"/>
  <c r="K58" i="3" s="1"/>
  <c r="K60" i="3" s="1"/>
  <c r="K32" i="1"/>
  <c r="K73" i="3"/>
  <c r="K76" i="3" s="1"/>
  <c r="K31" i="1"/>
  <c r="G93" i="3" l="1"/>
  <c r="H80" i="3"/>
  <c r="H84" i="3" s="1"/>
  <c r="I80" i="3" s="1"/>
  <c r="I84" i="3" s="1"/>
  <c r="J80" i="3" s="1"/>
  <c r="J84" i="3" s="1"/>
  <c r="K80" i="3" s="1"/>
  <c r="K84" i="3" s="1"/>
  <c r="L80" i="3" s="1"/>
  <c r="L84" i="3" s="1"/>
  <c r="L55" i="3"/>
  <c r="L58" i="3" s="1"/>
  <c r="L60" i="3" s="1"/>
  <c r="M32" i="1" s="1"/>
  <c r="L32" i="1"/>
  <c r="L73" i="3"/>
  <c r="L76" i="3" s="1"/>
  <c r="M31" i="1" s="1"/>
  <c r="L31" i="1"/>
  <c r="I129" i="1" l="1"/>
  <c r="J129" i="1"/>
  <c r="K129" i="1"/>
  <c r="L129" i="1"/>
  <c r="M129" i="1"/>
  <c r="D51" i="3"/>
  <c r="E51" i="3"/>
  <c r="F51" i="3"/>
  <c r="G51" i="3"/>
  <c r="C51" i="3"/>
  <c r="D50" i="3"/>
  <c r="E50" i="3"/>
  <c r="F50" i="3"/>
  <c r="G50" i="3"/>
  <c r="C50" i="3"/>
  <c r="D43" i="3"/>
  <c r="E43" i="3"/>
  <c r="F43" i="3"/>
  <c r="G43" i="3"/>
  <c r="C43" i="3"/>
  <c r="L38" i="3"/>
  <c r="M65" i="1" s="1"/>
  <c r="H16" i="3"/>
  <c r="J101" i="1"/>
  <c r="K101" i="1"/>
  <c r="L101" i="1"/>
  <c r="M101" i="1"/>
  <c r="I101" i="1"/>
  <c r="I67" i="3"/>
  <c r="J59" i="1" s="1"/>
  <c r="J67" i="3"/>
  <c r="K59" i="1" s="1"/>
  <c r="K67" i="3"/>
  <c r="L59" i="1" s="1"/>
  <c r="L67" i="3"/>
  <c r="M59" i="1" s="1"/>
  <c r="H67" i="3"/>
  <c r="I59" i="1" s="1"/>
  <c r="D67" i="3"/>
  <c r="E67" i="3"/>
  <c r="F67" i="3"/>
  <c r="G67" i="3"/>
  <c r="C67" i="3"/>
  <c r="D65" i="3"/>
  <c r="E65" i="3"/>
  <c r="F65" i="3"/>
  <c r="G65" i="3"/>
  <c r="C65" i="3"/>
  <c r="I14" i="1"/>
  <c r="I15" i="7" s="1"/>
  <c r="H65" i="3"/>
  <c r="I42" i="1" s="1"/>
  <c r="G66" i="3"/>
  <c r="F66" i="3"/>
  <c r="E66" i="3"/>
  <c r="D66" i="3"/>
  <c r="C66" i="3"/>
  <c r="G64" i="3"/>
  <c r="F64" i="3"/>
  <c r="E64" i="3"/>
  <c r="D64" i="3"/>
  <c r="C64" i="3"/>
  <c r="G8" i="3"/>
  <c r="F8" i="3"/>
  <c r="E8" i="3"/>
  <c r="D8" i="3"/>
  <c r="C8" i="3"/>
  <c r="G7" i="3"/>
  <c r="F7" i="3"/>
  <c r="E7" i="3"/>
  <c r="D7" i="3"/>
  <c r="C7" i="3"/>
  <c r="H133" i="1"/>
  <c r="G45" i="3" s="1"/>
  <c r="G133" i="1"/>
  <c r="F45" i="3" s="1"/>
  <c r="F133" i="1"/>
  <c r="E133" i="1"/>
  <c r="D45" i="3" s="1"/>
  <c r="D133" i="1"/>
  <c r="C45" i="3" s="1"/>
  <c r="H132" i="1"/>
  <c r="G10" i="3" s="1"/>
  <c r="D73" i="7" s="1"/>
  <c r="G132" i="1"/>
  <c r="F132" i="1"/>
  <c r="E10" i="3" s="1"/>
  <c r="F6" i="3" s="1"/>
  <c r="E132" i="1"/>
  <c r="D10" i="3" s="1"/>
  <c r="D132" i="1"/>
  <c r="H129" i="1"/>
  <c r="G129" i="1"/>
  <c r="F129" i="1"/>
  <c r="E129" i="1"/>
  <c r="D129" i="1"/>
  <c r="H121" i="1"/>
  <c r="H122" i="1" s="1"/>
  <c r="G121" i="1"/>
  <c r="G122" i="1" s="1"/>
  <c r="F121" i="1"/>
  <c r="F122" i="1" s="1"/>
  <c r="E121" i="1"/>
  <c r="E122" i="1" s="1"/>
  <c r="D121" i="1"/>
  <c r="D122" i="1" s="1"/>
  <c r="H109" i="1"/>
  <c r="G109" i="1"/>
  <c r="F109" i="1"/>
  <c r="E109" i="1"/>
  <c r="D109" i="1"/>
  <c r="H99" i="1"/>
  <c r="G99" i="1"/>
  <c r="F99" i="1"/>
  <c r="E99" i="1"/>
  <c r="D99" i="1"/>
  <c r="H79" i="1"/>
  <c r="G79" i="1"/>
  <c r="F79" i="1"/>
  <c r="E79" i="1"/>
  <c r="D79" i="1"/>
  <c r="H72" i="1"/>
  <c r="G72" i="1"/>
  <c r="F72" i="1"/>
  <c r="E72" i="1"/>
  <c r="D72" i="1"/>
  <c r="H60" i="1"/>
  <c r="H62" i="1" s="1"/>
  <c r="G60" i="1"/>
  <c r="G62" i="1" s="1"/>
  <c r="F60" i="1"/>
  <c r="F62" i="1" s="1"/>
  <c r="E60" i="1"/>
  <c r="E62" i="1" s="1"/>
  <c r="D60" i="1"/>
  <c r="D62" i="1" s="1"/>
  <c r="H48" i="1"/>
  <c r="H50" i="1" s="1"/>
  <c r="G48" i="1"/>
  <c r="G50" i="1" s="1"/>
  <c r="F48" i="1"/>
  <c r="F50" i="1" s="1"/>
  <c r="E48" i="1"/>
  <c r="E50" i="1" s="1"/>
  <c r="D48" i="1"/>
  <c r="D50" i="1" s="1"/>
  <c r="H40" i="1"/>
  <c r="G40" i="1"/>
  <c r="F40" i="1"/>
  <c r="E40" i="1"/>
  <c r="D40" i="1"/>
  <c r="H11" i="1"/>
  <c r="H12" i="1" s="1"/>
  <c r="G11" i="1"/>
  <c r="G15" i="1" s="1"/>
  <c r="F11" i="1"/>
  <c r="F12" i="1" s="1"/>
  <c r="E11" i="1"/>
  <c r="D11" i="1"/>
  <c r="D12" i="1" s="1"/>
  <c r="H8" i="1"/>
  <c r="G8" i="1"/>
  <c r="F8" i="1"/>
  <c r="E8" i="1"/>
  <c r="D84" i="7" l="1"/>
  <c r="D87" i="7" s="1"/>
  <c r="D75" i="7"/>
  <c r="I11" i="7"/>
  <c r="D51" i="1"/>
  <c r="H51" i="1"/>
  <c r="F73" i="1"/>
  <c r="F80" i="1" s="1"/>
  <c r="J14" i="1"/>
  <c r="F51" i="1"/>
  <c r="F134" i="1"/>
  <c r="F135" i="1" s="1"/>
  <c r="D73" i="1"/>
  <c r="D80" i="1" s="1"/>
  <c r="H73" i="1"/>
  <c r="H80" i="1" s="1"/>
  <c r="I8" i="1"/>
  <c r="I9" i="1"/>
  <c r="H37" i="3"/>
  <c r="H38" i="3" s="1"/>
  <c r="I65" i="1" s="1"/>
  <c r="H8" i="3"/>
  <c r="I54" i="1" s="1"/>
  <c r="I90" i="1"/>
  <c r="I18" i="1" s="1"/>
  <c r="I16" i="3"/>
  <c r="I17" i="3" s="1"/>
  <c r="I11" i="3" s="1"/>
  <c r="D68" i="3"/>
  <c r="C68" i="3"/>
  <c r="G68" i="3"/>
  <c r="F68" i="3"/>
  <c r="E68" i="3"/>
  <c r="E73" i="1"/>
  <c r="E80" i="1" s="1"/>
  <c r="G12" i="1"/>
  <c r="E45" i="3"/>
  <c r="F42" i="3" s="1"/>
  <c r="F44" i="3" s="1"/>
  <c r="E134" i="1"/>
  <c r="E135" i="1" s="1"/>
  <c r="D15" i="1"/>
  <c r="E15" i="1"/>
  <c r="E12" i="1"/>
  <c r="G73" i="1"/>
  <c r="G80" i="1" s="1"/>
  <c r="H15" i="1"/>
  <c r="D42" i="3"/>
  <c r="D44" i="3" s="1"/>
  <c r="C44" i="3"/>
  <c r="E6" i="3"/>
  <c r="E9" i="3" s="1"/>
  <c r="E51" i="1"/>
  <c r="G42" i="3"/>
  <c r="G44" i="3" s="1"/>
  <c r="F15" i="1"/>
  <c r="G51" i="1"/>
  <c r="F10" i="3"/>
  <c r="G134" i="1"/>
  <c r="G135" i="1" s="1"/>
  <c r="G85" i="1"/>
  <c r="G89" i="1" s="1"/>
  <c r="G92" i="1" s="1"/>
  <c r="G130" i="1" s="1"/>
  <c r="G19" i="1"/>
  <c r="G126" i="1"/>
  <c r="G16" i="1"/>
  <c r="C10" i="3"/>
  <c r="D134" i="1"/>
  <c r="D135" i="1" s="1"/>
  <c r="H134" i="1"/>
  <c r="H135" i="1" s="1"/>
  <c r="E42" i="3"/>
  <c r="D88" i="7" l="1"/>
  <c r="D82" i="7"/>
  <c r="F69" i="3"/>
  <c r="G37" i="7" s="1"/>
  <c r="D69" i="3"/>
  <c r="I12" i="7"/>
  <c r="I13" i="7" s="1"/>
  <c r="I16" i="7" s="1"/>
  <c r="H66" i="3"/>
  <c r="H64" i="3"/>
  <c r="I41" i="1" s="1"/>
  <c r="I7" i="7"/>
  <c r="I5" i="7"/>
  <c r="G69" i="3"/>
  <c r="H37" i="7" s="1"/>
  <c r="E69" i="3"/>
  <c r="F37" i="7" s="1"/>
  <c r="K14" i="1"/>
  <c r="L14" i="1" s="1"/>
  <c r="I11" i="1"/>
  <c r="H44" i="3"/>
  <c r="I102" i="1"/>
  <c r="J16" i="3"/>
  <c r="J17" i="3" s="1"/>
  <c r="J11" i="3" s="1"/>
  <c r="I8" i="3"/>
  <c r="J54" i="1" s="1"/>
  <c r="H43" i="3"/>
  <c r="I106" i="1" s="1"/>
  <c r="I38" i="7" s="1"/>
  <c r="I132" i="1"/>
  <c r="I37" i="3"/>
  <c r="E44" i="3"/>
  <c r="E85" i="1"/>
  <c r="E89" i="1" s="1"/>
  <c r="E92" i="1" s="1"/>
  <c r="E130" i="1" s="1"/>
  <c r="E126" i="1"/>
  <c r="E16" i="1"/>
  <c r="E19" i="1"/>
  <c r="G127" i="1"/>
  <c r="G128" i="1"/>
  <c r="G22" i="1"/>
  <c r="G21" i="7" s="1"/>
  <c r="G21" i="1"/>
  <c r="G24" i="1" s="1"/>
  <c r="G25" i="1" s="1"/>
  <c r="F126" i="1"/>
  <c r="F19" i="1"/>
  <c r="F16" i="1"/>
  <c r="F85" i="1"/>
  <c r="F89" i="1" s="1"/>
  <c r="F92" i="1" s="1"/>
  <c r="F130" i="1" s="1"/>
  <c r="C9" i="3"/>
  <c r="D6" i="3"/>
  <c r="D9" i="3" s="1"/>
  <c r="G131" i="1"/>
  <c r="G110" i="1"/>
  <c r="G115" i="1" s="1"/>
  <c r="G117" i="1" s="1"/>
  <c r="G119" i="1" s="1"/>
  <c r="G136" i="1"/>
  <c r="F46" i="3"/>
  <c r="H126" i="1"/>
  <c r="H136" i="1" s="1"/>
  <c r="H16" i="1"/>
  <c r="H19" i="1"/>
  <c r="H85" i="1"/>
  <c r="H89" i="1" s="1"/>
  <c r="H92" i="1" s="1"/>
  <c r="H130" i="1" s="1"/>
  <c r="G6" i="3"/>
  <c r="F9" i="3"/>
  <c r="D126" i="1"/>
  <c r="D136" i="1" s="1"/>
  <c r="D16" i="1"/>
  <c r="D85" i="1"/>
  <c r="D19" i="1"/>
  <c r="G33" i="7" l="1"/>
  <c r="G34" i="7"/>
  <c r="G39" i="7"/>
  <c r="I6" i="7"/>
  <c r="I19" i="7"/>
  <c r="I32" i="7"/>
  <c r="I34" i="7" s="1"/>
  <c r="D89" i="1"/>
  <c r="D92" i="1" s="1"/>
  <c r="D130" i="1" s="1"/>
  <c r="M14" i="1"/>
  <c r="I109" i="1"/>
  <c r="I52" i="1"/>
  <c r="H68" i="3"/>
  <c r="H69" i="3" s="1"/>
  <c r="I12" i="1"/>
  <c r="I15" i="1"/>
  <c r="I19" i="1" s="1"/>
  <c r="I20" i="1" s="1"/>
  <c r="J102" i="1"/>
  <c r="K16" i="3"/>
  <c r="K17" i="3" s="1"/>
  <c r="K11" i="3" s="1"/>
  <c r="J8" i="3"/>
  <c r="K54" i="1" s="1"/>
  <c r="H45" i="3"/>
  <c r="H50" i="3"/>
  <c r="I55" i="1" s="1"/>
  <c r="I38" i="3"/>
  <c r="J65" i="1" s="1"/>
  <c r="J132" i="1" s="1"/>
  <c r="J37" i="3"/>
  <c r="F21" i="1"/>
  <c r="F24" i="1" s="1"/>
  <c r="F25" i="1" s="1"/>
  <c r="F22" i="1"/>
  <c r="F21" i="7" s="1"/>
  <c r="F33" i="7" s="1"/>
  <c r="F34" i="7" s="1"/>
  <c r="F39" i="7" s="1"/>
  <c r="E22" i="1"/>
  <c r="E21" i="1"/>
  <c r="E24" i="1" s="1"/>
  <c r="E25" i="1" s="1"/>
  <c r="F128" i="1"/>
  <c r="F127" i="1"/>
  <c r="E46" i="3"/>
  <c r="F136" i="1"/>
  <c r="H127" i="1"/>
  <c r="H128" i="1"/>
  <c r="G46" i="3"/>
  <c r="D127" i="1"/>
  <c r="D128" i="1"/>
  <c r="C46" i="3"/>
  <c r="H131" i="1"/>
  <c r="H110" i="1"/>
  <c r="H115" i="1" s="1"/>
  <c r="H117" i="1" s="1"/>
  <c r="D21" i="1"/>
  <c r="D24" i="1" s="1"/>
  <c r="D25" i="1" s="1"/>
  <c r="D22" i="1"/>
  <c r="H22" i="1"/>
  <c r="H21" i="7" s="1"/>
  <c r="H21" i="1"/>
  <c r="H24" i="1" s="1"/>
  <c r="H25" i="1" s="1"/>
  <c r="F110" i="1"/>
  <c r="F115" i="1" s="1"/>
  <c r="F117" i="1" s="1"/>
  <c r="F119" i="1" s="1"/>
  <c r="F131" i="1"/>
  <c r="E128" i="1"/>
  <c r="E127" i="1"/>
  <c r="D46" i="3"/>
  <c r="E136" i="1"/>
  <c r="E110" i="1"/>
  <c r="E115" i="1" s="1"/>
  <c r="E117" i="1" s="1"/>
  <c r="E119" i="1" s="1"/>
  <c r="E131" i="1"/>
  <c r="H6" i="3"/>
  <c r="H10" i="3" s="1"/>
  <c r="I6" i="3" s="1"/>
  <c r="I10" i="3" s="1"/>
  <c r="J6" i="3" s="1"/>
  <c r="G9" i="3"/>
  <c r="H33" i="7" l="1"/>
  <c r="H34" i="7"/>
  <c r="H39" i="7" s="1"/>
  <c r="I37" i="7"/>
  <c r="I39" i="7" s="1"/>
  <c r="I47" i="7" s="1"/>
  <c r="I52" i="7" s="1"/>
  <c r="I54" i="7" s="1"/>
  <c r="I88" i="1"/>
  <c r="I60" i="1"/>
  <c r="I62" i="1" s="1"/>
  <c r="I22" i="7"/>
  <c r="D131" i="1"/>
  <c r="D110" i="1"/>
  <c r="D115" i="1" s="1"/>
  <c r="D117" i="1" s="1"/>
  <c r="D119" i="1" s="1"/>
  <c r="H119" i="1"/>
  <c r="I116" i="1"/>
  <c r="I85" i="1"/>
  <c r="I126" i="1"/>
  <c r="H46" i="3" s="1"/>
  <c r="I16" i="1"/>
  <c r="K102" i="1"/>
  <c r="L16" i="3"/>
  <c r="L8" i="3" s="1"/>
  <c r="M54" i="1" s="1"/>
  <c r="K8" i="3"/>
  <c r="L54" i="1" s="1"/>
  <c r="H51" i="3"/>
  <c r="I66" i="1" s="1"/>
  <c r="I42" i="3"/>
  <c r="J90" i="1" s="1"/>
  <c r="J18" i="1" s="1"/>
  <c r="J10" i="3"/>
  <c r="K6" i="3" s="1"/>
  <c r="J38" i="3"/>
  <c r="K65" i="1" s="1"/>
  <c r="K37" i="3"/>
  <c r="I89" i="1" l="1"/>
  <c r="I92" i="1" s="1"/>
  <c r="I130" i="1" s="1"/>
  <c r="I131" i="1" s="1"/>
  <c r="I21" i="1"/>
  <c r="I24" i="1" s="1"/>
  <c r="I78" i="1" s="1"/>
  <c r="I127" i="1"/>
  <c r="I128" i="1"/>
  <c r="I44" i="3"/>
  <c r="L102" i="1"/>
  <c r="I133" i="1"/>
  <c r="I134" i="1" s="1"/>
  <c r="I72" i="1"/>
  <c r="I73" i="1" s="1"/>
  <c r="K132" i="1"/>
  <c r="I43" i="3"/>
  <c r="J106" i="1" s="1"/>
  <c r="K10" i="3"/>
  <c r="L6" i="3" s="1"/>
  <c r="M102" i="1"/>
  <c r="M132" i="1"/>
  <c r="K38" i="3"/>
  <c r="L65" i="1" s="1"/>
  <c r="L132" i="1" s="1"/>
  <c r="L37" i="3"/>
  <c r="I110" i="1" l="1"/>
  <c r="I115" i="1" s="1"/>
  <c r="I117" i="1" s="1"/>
  <c r="J109" i="1"/>
  <c r="J38" i="7"/>
  <c r="I25" i="1"/>
  <c r="I79" i="1"/>
  <c r="I80" i="1" s="1"/>
  <c r="I45" i="3"/>
  <c r="I50" i="3"/>
  <c r="J55" i="1" s="1"/>
  <c r="L10" i="3"/>
  <c r="I118" i="1" l="1"/>
  <c r="I119" i="1" s="1"/>
  <c r="J116" i="1"/>
  <c r="I47" i="1"/>
  <c r="I48" i="1" s="1"/>
  <c r="I50" i="1" s="1"/>
  <c r="I51" i="3"/>
  <c r="J66" i="1" s="1"/>
  <c r="J42" i="3"/>
  <c r="J48" i="3" l="1"/>
  <c r="K90" i="1" s="1"/>
  <c r="K18" i="1" s="1"/>
  <c r="I135" i="1"/>
  <c r="I136" i="1" s="1"/>
  <c r="J133" i="1"/>
  <c r="J134" i="1" s="1"/>
  <c r="J72" i="1"/>
  <c r="J44" i="3" l="1"/>
  <c r="J43" i="3"/>
  <c r="K106" i="1" s="1"/>
  <c r="K109" i="1" s="1"/>
  <c r="J50" i="3" l="1"/>
  <c r="K55" i="1" s="1"/>
  <c r="J45" i="3"/>
  <c r="K42" i="3" s="1"/>
  <c r="K38" i="7"/>
  <c r="J51" i="3"/>
  <c r="K66" i="1" s="1"/>
  <c r="K48" i="3" l="1"/>
  <c r="L90" i="1" s="1"/>
  <c r="L18" i="1" s="1"/>
  <c r="K44" i="3"/>
  <c r="K133" i="1"/>
  <c r="K134" i="1" s="1"/>
  <c r="K72" i="1"/>
  <c r="K43" i="3" l="1"/>
  <c r="L106" i="1" s="1"/>
  <c r="L109" i="1"/>
  <c r="L38" i="7"/>
  <c r="K45" i="3"/>
  <c r="K50" i="3"/>
  <c r="L55" i="1" s="1"/>
  <c r="K51" i="3" l="1"/>
  <c r="L66" i="1" s="1"/>
  <c r="L42" i="3"/>
  <c r="M90" i="1" l="1"/>
  <c r="M18" i="1" s="1"/>
  <c r="L48" i="3"/>
  <c r="L44" i="3"/>
  <c r="L133" i="1"/>
  <c r="L134" i="1" s="1"/>
  <c r="L72" i="1"/>
  <c r="L43" i="3"/>
  <c r="M106" i="1" s="1"/>
  <c r="M109" i="1" l="1"/>
  <c r="M38" i="7"/>
  <c r="L45" i="3"/>
  <c r="L50" i="3"/>
  <c r="M55" i="1" s="1"/>
  <c r="L51" i="3" l="1"/>
  <c r="M66" i="1" s="1"/>
  <c r="M133" i="1" l="1"/>
  <c r="M134" i="1" s="1"/>
  <c r="M72" i="1"/>
  <c r="H91" i="3"/>
  <c r="H93" i="3" s="1"/>
  <c r="I33" i="1" s="1"/>
  <c r="I40" i="1" s="1"/>
  <c r="I51" i="1" s="1"/>
  <c r="I86" i="3" l="1"/>
  <c r="I87" i="3" l="1"/>
  <c r="I91" i="3" s="1"/>
  <c r="I93" i="3" l="1"/>
  <c r="J33" i="1" s="1"/>
  <c r="J40" i="1" s="1"/>
  <c r="J86" i="3"/>
  <c r="J87" i="3" s="1"/>
  <c r="J91" i="3" s="1"/>
  <c r="J93" i="3" l="1"/>
  <c r="K33" i="1" s="1"/>
  <c r="K40" i="1" s="1"/>
  <c r="K86" i="3"/>
  <c r="K87" i="3" l="1"/>
  <c r="K91" i="3" s="1"/>
  <c r="K93" i="3" l="1"/>
  <c r="L33" i="1" s="1"/>
  <c r="L40" i="1" s="1"/>
  <c r="L86" i="3"/>
  <c r="L87" i="3" l="1"/>
  <c r="L91" i="3" s="1"/>
  <c r="L93" i="3" s="1"/>
  <c r="M33" i="1" s="1"/>
  <c r="M40" i="1" s="1"/>
  <c r="K15" i="7" l="1"/>
  <c r="J15" i="7"/>
  <c r="L15" i="7" l="1"/>
  <c r="M15" i="7"/>
  <c r="L65" i="3"/>
  <c r="M42" i="1" s="1"/>
  <c r="I65" i="3"/>
  <c r="J42" i="1" s="1"/>
  <c r="L8" i="1"/>
  <c r="M9" i="1"/>
  <c r="L66" i="3" s="1"/>
  <c r="M52" i="1" s="1"/>
  <c r="M60" i="1" s="1"/>
  <c r="M62" i="1" s="1"/>
  <c r="M73" i="1" s="1"/>
  <c r="M8" i="1"/>
  <c r="K11" i="7"/>
  <c r="K65" i="3"/>
  <c r="L42" i="1" s="1"/>
  <c r="J8" i="1"/>
  <c r="K8" i="1"/>
  <c r="L11" i="7"/>
  <c r="L9" i="1"/>
  <c r="L11" i="1" s="1"/>
  <c r="J9" i="1"/>
  <c r="I66" i="3" s="1"/>
  <c r="J52" i="1" s="1"/>
  <c r="J60" i="1" s="1"/>
  <c r="J62" i="1" s="1"/>
  <c r="J73" i="1" s="1"/>
  <c r="M11" i="7"/>
  <c r="N11" i="7" s="1"/>
  <c r="N15" i="7" s="1"/>
  <c r="K9" i="1"/>
  <c r="K12" i="7" s="1"/>
  <c r="J11" i="7"/>
  <c r="J7" i="7" s="1"/>
  <c r="J65" i="3"/>
  <c r="K42" i="1" s="1"/>
  <c r="L7" i="7" l="1"/>
  <c r="M11" i="1"/>
  <c r="M15" i="1" s="1"/>
  <c r="M126" i="1" s="1"/>
  <c r="K5" i="7"/>
  <c r="J11" i="1"/>
  <c r="J12" i="1" s="1"/>
  <c r="M7" i="7"/>
  <c r="K6" i="7"/>
  <c r="K13" i="7"/>
  <c r="K16" i="7" s="1"/>
  <c r="L12" i="1"/>
  <c r="L15" i="1"/>
  <c r="J66" i="3"/>
  <c r="K52" i="1" s="1"/>
  <c r="K60" i="1" s="1"/>
  <c r="K62" i="1" s="1"/>
  <c r="K73" i="1" s="1"/>
  <c r="K11" i="1"/>
  <c r="I64" i="3"/>
  <c r="N12" i="7"/>
  <c r="N13" i="7" s="1"/>
  <c r="N16" i="7" s="1"/>
  <c r="M12" i="7"/>
  <c r="M5" i="7"/>
  <c r="L64" i="3"/>
  <c r="J12" i="7"/>
  <c r="K66" i="3"/>
  <c r="L52" i="1" s="1"/>
  <c r="L60" i="1" s="1"/>
  <c r="L62" i="1" s="1"/>
  <c r="L73" i="1" s="1"/>
  <c r="J5" i="7"/>
  <c r="J64" i="3"/>
  <c r="L5" i="7"/>
  <c r="K7" i="7"/>
  <c r="L12" i="7"/>
  <c r="L6" i="7" s="1"/>
  <c r="J15" i="1"/>
  <c r="K64" i="3"/>
  <c r="M12" i="1" l="1"/>
  <c r="M16" i="1"/>
  <c r="M85" i="1"/>
  <c r="M19" i="1"/>
  <c r="M20" i="1" s="1"/>
  <c r="M22" i="7" s="1"/>
  <c r="N22" i="7"/>
  <c r="N32" i="7"/>
  <c r="N34" i="7" s="1"/>
  <c r="N39" i="7" s="1"/>
  <c r="N47" i="7" s="1"/>
  <c r="N52" i="7" s="1"/>
  <c r="N19" i="7"/>
  <c r="N48" i="7" s="1"/>
  <c r="K68" i="3"/>
  <c r="L41" i="1"/>
  <c r="J6" i="7"/>
  <c r="J13" i="7"/>
  <c r="J16" i="7" s="1"/>
  <c r="J19" i="1"/>
  <c r="J126" i="1"/>
  <c r="J85" i="1"/>
  <c r="J16" i="1"/>
  <c r="K41" i="1"/>
  <c r="J68" i="3"/>
  <c r="M41" i="1"/>
  <c r="L68" i="3"/>
  <c r="L13" i="7"/>
  <c r="L16" i="7" s="1"/>
  <c r="J41" i="1"/>
  <c r="I68" i="3"/>
  <c r="I69" i="3" s="1"/>
  <c r="L85" i="1"/>
  <c r="L126" i="1"/>
  <c r="L19" i="1"/>
  <c r="L16" i="1"/>
  <c r="K19" i="7"/>
  <c r="K32" i="7"/>
  <c r="K34" i="7" s="1"/>
  <c r="M6" i="7"/>
  <c r="M13" i="7"/>
  <c r="M16" i="7" s="1"/>
  <c r="K12" i="1"/>
  <c r="K15" i="1"/>
  <c r="M128" i="1"/>
  <c r="L46" i="3"/>
  <c r="M127" i="1"/>
  <c r="K69" i="3" l="1"/>
  <c r="L88" i="1" s="1"/>
  <c r="L89" i="1" s="1"/>
  <c r="L92" i="1" s="1"/>
  <c r="L69" i="3"/>
  <c r="M37" i="7" s="1"/>
  <c r="M21" i="1"/>
  <c r="M24" i="1" s="1"/>
  <c r="M25" i="1" s="1"/>
  <c r="L20" i="1"/>
  <c r="L22" i="7" s="1"/>
  <c r="J88" i="1"/>
  <c r="J89" i="1" s="1"/>
  <c r="J92" i="1" s="1"/>
  <c r="J37" i="7"/>
  <c r="M32" i="7"/>
  <c r="M34" i="7" s="1"/>
  <c r="M19" i="7"/>
  <c r="L128" i="1"/>
  <c r="K46" i="3"/>
  <c r="L127" i="1"/>
  <c r="J69" i="3"/>
  <c r="I46" i="3"/>
  <c r="J128" i="1"/>
  <c r="J127" i="1"/>
  <c r="N53" i="7"/>
  <c r="I60" i="7" s="1"/>
  <c r="J19" i="7"/>
  <c r="J32" i="7"/>
  <c r="J34" i="7" s="1"/>
  <c r="K85" i="1"/>
  <c r="K16" i="1"/>
  <c r="K19" i="1"/>
  <c r="K126" i="1"/>
  <c r="L19" i="7"/>
  <c r="L32" i="7"/>
  <c r="L34" i="7" s="1"/>
  <c r="J20" i="1"/>
  <c r="J22" i="7" s="1"/>
  <c r="M88" i="1" l="1"/>
  <c r="M89" i="1" s="1"/>
  <c r="M92" i="1" s="1"/>
  <c r="M110" i="1" s="1"/>
  <c r="M115" i="1" s="1"/>
  <c r="J39" i="7"/>
  <c r="J47" i="7" s="1"/>
  <c r="J52" i="7" s="1"/>
  <c r="J54" i="7" s="1"/>
  <c r="L37" i="7"/>
  <c r="L39" i="7" s="1"/>
  <c r="L47" i="7" s="1"/>
  <c r="L52" i="7" s="1"/>
  <c r="L54" i="7" s="1"/>
  <c r="M39" i="7"/>
  <c r="M47" i="7" s="1"/>
  <c r="M52" i="7" s="1"/>
  <c r="M54" i="7" s="1"/>
  <c r="L21" i="1"/>
  <c r="L24" i="1" s="1"/>
  <c r="L25" i="1" s="1"/>
  <c r="K20" i="1"/>
  <c r="K22" i="7" s="1"/>
  <c r="N54" i="7"/>
  <c r="K88" i="1"/>
  <c r="K89" i="1" s="1"/>
  <c r="K92" i="1" s="1"/>
  <c r="K37" i="7"/>
  <c r="K39" i="7" s="1"/>
  <c r="K47" i="7" s="1"/>
  <c r="K52" i="7" s="1"/>
  <c r="K54" i="7" s="1"/>
  <c r="J110" i="1"/>
  <c r="J115" i="1" s="1"/>
  <c r="J117" i="1" s="1"/>
  <c r="J130" i="1"/>
  <c r="J131" i="1" s="1"/>
  <c r="J21" i="1"/>
  <c r="J24" i="1" s="1"/>
  <c r="L130" i="1"/>
  <c r="L131" i="1" s="1"/>
  <c r="L110" i="1"/>
  <c r="L115" i="1" s="1"/>
  <c r="K127" i="1"/>
  <c r="K128" i="1"/>
  <c r="J46" i="3"/>
  <c r="M130" i="1" l="1"/>
  <c r="M131" i="1" s="1"/>
  <c r="I59" i="7"/>
  <c r="I61" i="7" s="1"/>
  <c r="I73" i="7" s="1"/>
  <c r="I75" i="7" s="1"/>
  <c r="N59" i="7" s="1"/>
  <c r="N61" i="7" s="1"/>
  <c r="K21" i="1"/>
  <c r="K24" i="1" s="1"/>
  <c r="K25" i="1" s="1"/>
  <c r="K130" i="1"/>
  <c r="K131" i="1" s="1"/>
  <c r="K110" i="1"/>
  <c r="K115" i="1" s="1"/>
  <c r="J25" i="1"/>
  <c r="J78" i="1"/>
  <c r="J118" i="1"/>
  <c r="J119" i="1" s="1"/>
  <c r="J47" i="1"/>
  <c r="K116" i="1"/>
  <c r="AA75" i="7" l="1"/>
  <c r="T83" i="7" s="1"/>
  <c r="U83" i="7" s="1"/>
  <c r="K117" i="1"/>
  <c r="J79" i="1"/>
  <c r="J80" i="1" s="1"/>
  <c r="K78" i="1"/>
  <c r="J135" i="1"/>
  <c r="J136" i="1" s="1"/>
  <c r="J48" i="1"/>
  <c r="J50" i="1" s="1"/>
  <c r="J51" i="1" s="1"/>
  <c r="S65" i="7" l="1"/>
  <c r="L3" i="1"/>
  <c r="U75" i="7"/>
  <c r="T81" i="7" s="1"/>
  <c r="U81" i="7" s="1"/>
  <c r="X75" i="7"/>
  <c r="T82" i="7" s="1"/>
  <c r="U82" i="7" s="1"/>
  <c r="R75" i="7"/>
  <c r="T80" i="7" s="1"/>
  <c r="U80" i="7" s="1"/>
  <c r="K79" i="1"/>
  <c r="K80" i="1" s="1"/>
  <c r="L78" i="1"/>
  <c r="K47" i="1"/>
  <c r="L116" i="1"/>
  <c r="L117" i="1" s="1"/>
  <c r="K118" i="1"/>
  <c r="K119" i="1" s="1"/>
  <c r="W81" i="7" l="1"/>
  <c r="Z81" i="7" s="1"/>
  <c r="AA81" i="7" s="1"/>
  <c r="W82" i="7"/>
  <c r="Z82" i="7" s="1"/>
  <c r="AA82" i="7" s="1"/>
  <c r="W83" i="7"/>
  <c r="Z83" i="7" s="1"/>
  <c r="AA83" i="7" s="1"/>
  <c r="W80" i="7"/>
  <c r="K135" i="1"/>
  <c r="K136" i="1" s="1"/>
  <c r="K48" i="1"/>
  <c r="K50" i="1" s="1"/>
  <c r="K51" i="1" s="1"/>
  <c r="L79" i="1"/>
  <c r="L80" i="1" s="1"/>
  <c r="M78" i="1"/>
  <c r="M79" i="1" s="1"/>
  <c r="M80" i="1" s="1"/>
  <c r="L118" i="1"/>
  <c r="L119" i="1" s="1"/>
  <c r="M116" i="1"/>
  <c r="M117" i="1" s="1"/>
  <c r="L47" i="1"/>
  <c r="X80" i="7" l="1"/>
  <c r="Z80" i="7"/>
  <c r="AA80" i="7" s="1"/>
  <c r="X83" i="7"/>
  <c r="X82" i="7"/>
  <c r="X81" i="7"/>
  <c r="L135" i="1"/>
  <c r="L136" i="1" s="1"/>
  <c r="L48" i="1"/>
  <c r="L50" i="1" s="1"/>
  <c r="L51" i="1" s="1"/>
  <c r="M118" i="1"/>
  <c r="M119" i="1" s="1"/>
  <c r="M47" i="1"/>
  <c r="M135" i="1" l="1"/>
  <c r="M136" i="1" s="1"/>
  <c r="M48" i="1"/>
  <c r="M50" i="1" s="1"/>
  <c r="M51" i="1" s="1"/>
</calcChain>
</file>

<file path=xl/sharedStrings.xml><?xml version="1.0" encoding="utf-8"?>
<sst xmlns="http://schemas.openxmlformats.org/spreadsheetml/2006/main" count="462" uniqueCount="352">
  <si>
    <t>J Sainsbury plc – Historical Three-Statement Model</t>
  </si>
  <si>
    <t>FY2022A–FY2026A | £m except per-share data | 2025A uses the latest restated comparative disclosed in FY2026 where available</t>
  </si>
  <si>
    <t>2022A</t>
  </si>
  <si>
    <t>2023A</t>
  </si>
  <si>
    <t>2024A</t>
  </si>
  <si>
    <t>2025A*</t>
  </si>
  <si>
    <t>2026A</t>
  </si>
  <si>
    <t>Income Statement</t>
  </si>
  <si>
    <t>Revenue</t>
  </si>
  <si>
    <t>Revenue growth</t>
  </si>
  <si>
    <t>Cost of sales</t>
  </si>
  <si>
    <t>Impairment loss on financial assets</t>
  </si>
  <si>
    <t>Gross profit</t>
  </si>
  <si>
    <t>Gross margin</t>
  </si>
  <si>
    <t>Administrative expenses</t>
  </si>
  <si>
    <t>Other income</t>
  </si>
  <si>
    <t>Operating profit</t>
  </si>
  <si>
    <t>Operating margin</t>
  </si>
  <si>
    <t>Finance income</t>
  </si>
  <si>
    <t>Finance costs</t>
  </si>
  <si>
    <t>Profit before tax – continuing operations</t>
  </si>
  <si>
    <t>Income tax expense</t>
  </si>
  <si>
    <t>Profit after tax – continuing operations</t>
  </si>
  <si>
    <t>Effective tax rate</t>
  </si>
  <si>
    <t>Profit after tax – discontinued operations</t>
  </si>
  <si>
    <t>Profit for the financial period</t>
  </si>
  <si>
    <t>Net margin</t>
  </si>
  <si>
    <t>Basic EPS – total (p)</t>
  </si>
  <si>
    <t>Diluted EPS – total (p)</t>
  </si>
  <si>
    <t>Balance Sheet</t>
  </si>
  <si>
    <t>Property, plant and equipment</t>
  </si>
  <si>
    <t>Right-of-use assets</t>
  </si>
  <si>
    <t>Intangible assets</t>
  </si>
  <si>
    <t>Investments in joint ventures and associates</t>
  </si>
  <si>
    <t>Other financial assets / FVOCI – non-current</t>
  </si>
  <si>
    <t>Trade and other receivables – non-current</t>
  </si>
  <si>
    <t>Financial Services receivables – non-current</t>
  </si>
  <si>
    <t>Derivative financial assets – non-current</t>
  </si>
  <si>
    <t>Net retirement benefit surplus</t>
  </si>
  <si>
    <t>Total non-current assets</t>
  </si>
  <si>
    <t>Inventories</t>
  </si>
  <si>
    <t>Trade and other receivables – current</t>
  </si>
  <si>
    <t>Financial Services receivables – current</t>
  </si>
  <si>
    <t>Other financial assets / FVOCI – current</t>
  </si>
  <si>
    <t>Derivative financial assets – current</t>
  </si>
  <si>
    <t>Income taxes receivable</t>
  </si>
  <si>
    <t>Cash and cash equivalents</t>
  </si>
  <si>
    <t>Current assets before held for sale</t>
  </si>
  <si>
    <t>Assets held for sale / disposal group</t>
  </si>
  <si>
    <t>Total current assets</t>
  </si>
  <si>
    <t>Total assets</t>
  </si>
  <si>
    <t>Trade and other payables – current</t>
  </si>
  <si>
    <t>Financial Services customer deposits – current</t>
  </si>
  <si>
    <t>Borrowings – current</t>
  </si>
  <si>
    <t>Lease liabilities – current</t>
  </si>
  <si>
    <t>Other financial liabilities – current</t>
  </si>
  <si>
    <t>Derivative financial liabilities – current</t>
  </si>
  <si>
    <t>Income taxes payable</t>
  </si>
  <si>
    <t>Provisions – current</t>
  </si>
  <si>
    <t>Current liabilities before disposal group</t>
  </si>
  <si>
    <t>Liabilities of disposal group held for sale</t>
  </si>
  <si>
    <t>Total current liabilities</t>
  </si>
  <si>
    <t>Trade and other payables – non-current</t>
  </si>
  <si>
    <t>Financial Services customer deposits – non-current</t>
  </si>
  <si>
    <t>Borrowings – non-current</t>
  </si>
  <si>
    <t>Lease liabilities – non-current</t>
  </si>
  <si>
    <t>Other financial liabilities – non-current</t>
  </si>
  <si>
    <t>Derivative financial liabilities – non-current</t>
  </si>
  <si>
    <t>Retirement benefit deficit</t>
  </si>
  <si>
    <t>Deferred income tax liability</t>
  </si>
  <si>
    <t>Provisions – non-current</t>
  </si>
  <si>
    <t>Total non-current liabilities</t>
  </si>
  <si>
    <t>Total liabilities</t>
  </si>
  <si>
    <t>Called up share capital</t>
  </si>
  <si>
    <t>Share premium</t>
  </si>
  <si>
    <t>Merger reserve</t>
  </si>
  <si>
    <t>Capital redemption and other reserves</t>
  </si>
  <si>
    <t>Retained earnings</t>
  </si>
  <si>
    <t>Total equity</t>
  </si>
  <si>
    <t>Total liabilities and equity</t>
  </si>
  <si>
    <t>Cash Flow Statement</t>
  </si>
  <si>
    <t>Operating profit – CF starting point</t>
  </si>
  <si>
    <t>Depreciation and amortisation</t>
  </si>
  <si>
    <t>Net impairment loss on non-financial assets</t>
  </si>
  <si>
    <t>Other non-cash items &amp; working capital</t>
  </si>
  <si>
    <t>Cash generated from operations – continuing</t>
  </si>
  <si>
    <t>Interest paid</t>
  </si>
  <si>
    <t>Corporation tax paid</t>
  </si>
  <si>
    <t>Net cash generated from operating activities – continuing</t>
  </si>
  <si>
    <t>Purchase of property, plant and equipment</t>
  </si>
  <si>
    <t>Initial direct costs on new leases</t>
  </si>
  <si>
    <t>Purchase of intangible assets</t>
  </si>
  <si>
    <t>Proceeds from disposal of property, plant and equipment</t>
  </si>
  <si>
    <t>Dividends and distributions received</t>
  </si>
  <si>
    <t>Interest received</t>
  </si>
  <si>
    <t>Net cash used in investing activities – continuing</t>
  </si>
  <si>
    <t>Proceeds from issuance of ordinary shares</t>
  </si>
  <si>
    <t>Proceeds from borrowings</t>
  </si>
  <si>
    <t>Repayment of borrowings</t>
  </si>
  <si>
    <t>Repayment of perpetual capital securities</t>
  </si>
  <si>
    <t>Purchase of own shares – share schemes</t>
  </si>
  <si>
    <t>Purchase of own shares – cancellation</t>
  </si>
  <si>
    <t>Repayment of lease liabilities</t>
  </si>
  <si>
    <t>Dividends paid – ordinary / special</t>
  </si>
  <si>
    <t>Dividends paid – perpetual securities</t>
  </si>
  <si>
    <t>Net cash used in financing activities – continuing</t>
  </si>
  <si>
    <t>Net change in cash – continuing operations</t>
  </si>
  <si>
    <t>Net cash flow from discontinued operations</t>
  </si>
  <si>
    <t>Total change in cash and cash equivalents</t>
  </si>
  <si>
    <t>Opening net cash and cash equivalents</t>
  </si>
  <si>
    <t>Closing net cash and cash equivalents – calculated</t>
  </si>
  <si>
    <t>Closing net cash and cash equivalents – reported</t>
  </si>
  <si>
    <t>Cash flow check</t>
  </si>
  <si>
    <t>Bank overdrafts</t>
  </si>
  <si>
    <t>Balance sheet cash reconciliation</t>
  </si>
  <si>
    <t>Cash / balance sheet check</t>
  </si>
  <si>
    <t>Historical Calculations</t>
  </si>
  <si>
    <t>EBITDA</t>
  </si>
  <si>
    <t>EBITDA margin</t>
  </si>
  <si>
    <t>EBITDA incl. impairment add-back</t>
  </si>
  <si>
    <t>Capital expenditure</t>
  </si>
  <si>
    <t>Free cash flow proxy</t>
  </si>
  <si>
    <t>FCF proxy margin</t>
  </si>
  <si>
    <t>Total borrowings</t>
  </si>
  <si>
    <t>Total lease liabilities</t>
  </si>
  <si>
    <t>Gross debt incl. leases</t>
  </si>
  <si>
    <t>Net debt proxy (cash only)</t>
  </si>
  <si>
    <t>Net debt proxy / EBITDA</t>
  </si>
  <si>
    <t>Restatement note: FY2025 uses the latest comparative restatement disclosed in FY2026 where available, including discontinued Financial Services and deferred-tax presentation. As a result, FY2025 values can differ from the originally filed FY2025 annual report. The free-cash-flow line above is a simple modelling proxy; Sainsbury's reported Retail Free Cash Flow is shown separately in Operating Metrics.</t>
  </si>
  <si>
    <t>J Sainsbury plc – Supporting Schedules</t>
  </si>
  <si>
    <t>Borrowings Schedule</t>
  </si>
  <si>
    <t>Opening borrowings</t>
  </si>
  <si>
    <t>New borrowings</t>
  </si>
  <si>
    <t>Repayments</t>
  </si>
  <si>
    <t>Other / classification changes</t>
  </si>
  <si>
    <t>Closing borrowings</t>
  </si>
  <si>
    <t>Lease Liability Schedule</t>
  </si>
  <si>
    <t>Opening lease liabilities</t>
  </si>
  <si>
    <t>Principal repayments</t>
  </si>
  <si>
    <t>New leases / interest / remeasurements / other</t>
  </si>
  <si>
    <t>Closing lease liabilities</t>
  </si>
  <si>
    <t>Lease liabilities / EBITDA</t>
  </si>
  <si>
    <t>Retail Working Capital Snapshot</t>
  </si>
  <si>
    <t>Trade payables – current</t>
  </si>
  <si>
    <t>Net operating working capital</t>
  </si>
  <si>
    <t>Fiscal year(s)</t>
  </si>
  <si>
    <t>Source</t>
  </si>
  <si>
    <t>Use in model</t>
  </si>
  <si>
    <t>Restatement / modelling note</t>
  </si>
  <si>
    <t>URL</t>
  </si>
  <si>
    <t>FY2022</t>
  </si>
  <si>
    <t>J Sainsbury plc Annual Report and Financial Statements 2023 / 2022</t>
  </si>
  <si>
    <t>FY2022 income statement, balance sheet, cash flow and opening schedule balances</t>
  </si>
  <si>
    <t>FY2022 balance-sheet presentation follows the latest comparative presentation in the FY2023 report.</t>
  </si>
  <si>
    <t>https://www.about.sainsburys.co.uk/~/media/Files/S/Sainsburys/documents/reports-and-presentations/2023/annual-report-2023/annual-report-and-financial-statements-2023.pdf</t>
  </si>
  <si>
    <t>FY2023</t>
  </si>
  <si>
    <t>J Sainsbury plc Annual Report and Financial Statements 2023</t>
  </si>
  <si>
    <t>FY2023 consolidated income statement, balance sheet and cash flow statement</t>
  </si>
  <si>
    <t>FY2024</t>
  </si>
  <si>
    <t>J Sainsbury plc Annual Report and Financial Statements 2025</t>
  </si>
  <si>
    <t>FY2024 comparative income statement, balance sheet and cash flow statement</t>
  </si>
  <si>
    <t>Comparatives are re-presented for discontinued operations where disclosed.</t>
  </si>
  <si>
    <t>https://corporate.sainsburys.co.uk/media/e1lfnybd/sainsbury-annual-report-and-financial-statements-2025.pdf</t>
  </si>
  <si>
    <t>FY2025</t>
  </si>
  <si>
    <t>J Sainsbury plc Annual Report and Financial Statements 2026</t>
  </si>
  <si>
    <t>Latest restated FY2025 comparative figures, particularly discontinued Financial Services and deferred-tax presentation</t>
  </si>
  <si>
    <t>These values can differ from the originally filed FY2025 annual report.</t>
  </si>
  <si>
    <t>https://corporate.sainsburys.co.uk/media/z01g231u/j-sainsbury-plc-annual-report-and-financial-statements-2026.pdf</t>
  </si>
  <si>
    <t>FY2026</t>
  </si>
  <si>
    <t>FY2026 consolidated statements and latest operating metrics</t>
  </si>
  <si>
    <t>Financial Services core banking exit materially reduces consolidated FS receivables/deposits versus prior years.</t>
  </si>
  <si>
    <t>Additional official results sources used for Operating Metrics</t>
  </si>
  <si>
    <t>Preliminary Results 2021/22</t>
  </si>
  <si>
    <t>Underlying PBT, Retail FCF, net debt, ROCE, underlying EPS</t>
  </si>
  <si>
    <t>https://corporate.sainsburys.co.uk/news/press-releases/preliminary-results-for-the-52-weeks-ended-5-march-2022/</t>
  </si>
  <si>
    <t>FY2025–FY2026</t>
  </si>
  <si>
    <t>Annual Report 2026 / Preliminary Results 2025/26</t>
  </si>
  <si>
    <t>Latest underlying PBT, Retail FCF, net debt, ROCE and EPS</t>
  </si>
  <si>
    <t>https://corporate.sainsburys.co.uk/investors/annual-report-2026/</t>
  </si>
  <si>
    <t>FY2023–FY2024</t>
  </si>
  <si>
    <t>Annual reports / preliminary results</t>
  </si>
  <si>
    <t>Underlying PBT, Retail FCF, net debt and ROCE</t>
  </si>
  <si>
    <t>https://corporate.sainsburys.co.uk/investors/results-reports-and-presentations/</t>
  </si>
  <si>
    <t>2027E</t>
  </si>
  <si>
    <t>2028E</t>
  </si>
  <si>
    <t>2029E</t>
  </si>
  <si>
    <t>2030E</t>
  </si>
  <si>
    <t>2031E</t>
  </si>
  <si>
    <t xml:space="preserve">Assumptions </t>
  </si>
  <si>
    <t>Rationale</t>
  </si>
  <si>
    <t>Cost of Sales</t>
  </si>
  <si>
    <t>Admin Expenses</t>
  </si>
  <si>
    <t xml:space="preserve">Supply chain costas are highly sensitive to fluctuating global commodity prices and the core policy is to intentioanlly compress their gross margins whenever commodity prices fall and use that the extra cash to expand their value schemes rather than keep extra profit. To protect profit, management is mapping a £1bn savings program split across COS and Admin Expenses. </t>
  </si>
  <si>
    <t xml:space="preserve">Primary goal is to keep Admin at £1.25bn annually by March 2027. This will be achieved by over 3,000 role reductions in all central head office function, combining redundant corporate divisions and eliminating overlapping managerial layers between the grocery team and Argos. Additionally, there will be a heavy consolidation of corporate software footprint, moving from legacy retail systems to cloud infrastructure lowering software licensing and central support costs. £150 million in one-off cash implementation costs to achieve these goals. With wages increasing, management must use aggressive measures to hit their goal. As Sainsburys is restructuring their core banking services by completing the sale to NatWest, a lof of the infrastructure and product management have been transferred, allowing them to maintain brand presence and customer relationshps without impacting operations. </t>
  </si>
  <si>
    <t xml:space="preserve">Inventory </t>
  </si>
  <si>
    <t>Trade and other receivables</t>
  </si>
  <si>
    <t>Trade and other payables</t>
  </si>
  <si>
    <t>Operating provisions</t>
  </si>
  <si>
    <t>The 22 days was mainly from Argos as tey have a lot of non-food items that can sit in the warehouse for months. The £120m sale of Argos removes the weight of slow-moving inventory which will tranform the business into a pure-play grocery model once argos has been de-consolidated.</t>
  </si>
  <si>
    <t>Flat rate</t>
  </si>
  <si>
    <t>UK payments practices legislation and amendments is making large corporations purchasers face a strict 60-day contractual ceiling, dragging payables days down</t>
  </si>
  <si>
    <t>£150m structural restructuring program</t>
  </si>
  <si>
    <t>Debt</t>
  </si>
  <si>
    <t>Revolving Credit (Facility B due in 2028: 500m)</t>
  </si>
  <si>
    <t>Revolving Credit (Facility A due in 2029: 500m)</t>
  </si>
  <si>
    <t>Unsecured Bond (£250m 5-year due in 2030 5.125%)</t>
  </si>
  <si>
    <t>Unsecured Bond (£300m 10-year due in 2035 5.625%)</t>
  </si>
  <si>
    <t>Bank Tier 2 Capital (£120m 10.5% due in 2028)</t>
  </si>
  <si>
    <t>Loan (due in 2031 at a 2.36% rate (principal and interst rae uplifted annually by RPI subject to a cap at 5% and floor at 0%))</t>
  </si>
  <si>
    <t>New Borrowings</t>
  </si>
  <si>
    <t>Current liabilities</t>
  </si>
  <si>
    <t>Interest Expense</t>
  </si>
  <si>
    <t>Payments</t>
  </si>
  <si>
    <t>Depreciation Schedule</t>
  </si>
  <si>
    <t>PPE Opening</t>
  </si>
  <si>
    <t>Capex</t>
  </si>
  <si>
    <t>Depreciation</t>
  </si>
  <si>
    <t>PPE Closing</t>
  </si>
  <si>
    <t>Depreciation &amp; Amortisation</t>
  </si>
  <si>
    <t xml:space="preserve">Management expects it to flat line at 1200m annually </t>
  </si>
  <si>
    <t>CapEx</t>
  </si>
  <si>
    <t xml:space="preserve">Focus shifts away from expanding store square footage and focus entirely on efficiency and returns </t>
  </si>
  <si>
    <t>Opening RoU Assets</t>
  </si>
  <si>
    <t xml:space="preserve">New Leases and Modifications </t>
  </si>
  <si>
    <t>Impairment Loss</t>
  </si>
  <si>
    <t xml:space="preserve">Depreciation Expense </t>
  </si>
  <si>
    <t>Closing RoU Assets</t>
  </si>
  <si>
    <t>Deregonised as part of asset acquistion</t>
  </si>
  <si>
    <t>Right-of-Use Schedule</t>
  </si>
  <si>
    <t>Current lease liability</t>
  </si>
  <si>
    <t>Non-current lease liability</t>
  </si>
  <si>
    <t>Non-current liabilities</t>
  </si>
  <si>
    <t>Intangible Assets Schedule</t>
  </si>
  <si>
    <t xml:space="preserve">Opening Cost </t>
  </si>
  <si>
    <t xml:space="preserve">Additions </t>
  </si>
  <si>
    <t>Disposals</t>
  </si>
  <si>
    <t xml:space="preserve">Closing Cost </t>
  </si>
  <si>
    <t>Opening accumulate amortisation and impairment</t>
  </si>
  <si>
    <t>Amortisation expense</t>
  </si>
  <si>
    <t xml:space="preserve">Impairment loss </t>
  </si>
  <si>
    <t xml:space="preserve">Closing </t>
  </si>
  <si>
    <t>NBV Closing</t>
  </si>
  <si>
    <t>Transfer to assets held for sale</t>
  </si>
  <si>
    <t xml:space="preserve">Interest </t>
  </si>
  <si>
    <t xml:space="preserve">Dividend paid </t>
  </si>
  <si>
    <t>Target cover ratio of 1.9x / 53% payout of net income</t>
  </si>
  <si>
    <t>Net Income from Discountinued P&amp;L</t>
  </si>
  <si>
    <t>Non-cash loss on disposal</t>
  </si>
  <si>
    <t>Cash Proceeds from the Sale</t>
  </si>
  <si>
    <t>Tax Rate</t>
  </si>
  <si>
    <t xml:space="preserve">Year -2 </t>
  </si>
  <si>
    <t>Year 0</t>
  </si>
  <si>
    <t>Year 1</t>
  </si>
  <si>
    <t>Year 2</t>
  </si>
  <si>
    <t>Year 3</t>
  </si>
  <si>
    <t>Year 4</t>
  </si>
  <si>
    <t>Year 5</t>
  </si>
  <si>
    <t>Term</t>
  </si>
  <si>
    <t>Revenue Growth</t>
  </si>
  <si>
    <t>COGS</t>
  </si>
  <si>
    <t>(% of Revenue)</t>
  </si>
  <si>
    <t>Expenses</t>
  </si>
  <si>
    <t>Depreciation Growth</t>
  </si>
  <si>
    <t>Gross Profit</t>
  </si>
  <si>
    <t>EBIT</t>
  </si>
  <si>
    <t>Current Tax</t>
  </si>
  <si>
    <t>UNLEVERED FREE CASH FLOW</t>
  </si>
  <si>
    <t>Unlevered Free Cash Flow</t>
  </si>
  <si>
    <t>NOPAT</t>
  </si>
  <si>
    <t xml:space="preserve">D&amp;A </t>
  </si>
  <si>
    <t>Capital Expenditure</t>
  </si>
  <si>
    <t>Change in Working Capital</t>
  </si>
  <si>
    <t>DISCOUNTED CASH FLOW SCHEDULE</t>
  </si>
  <si>
    <t>UNDISCOUNTED CASH FLOW</t>
  </si>
  <si>
    <t>Discrete Forecast</t>
  </si>
  <si>
    <t>Terminal Value</t>
  </si>
  <si>
    <t>Total Cash Flow</t>
  </si>
  <si>
    <t>ASSUMPTIONS</t>
  </si>
  <si>
    <t>ENTERPRISE VALUE</t>
  </si>
  <si>
    <t>EQUITY VALUE PER SHARE</t>
  </si>
  <si>
    <t>First Year of Forecast</t>
  </si>
  <si>
    <t>PV of Discrete</t>
  </si>
  <si>
    <t xml:space="preserve">Equity Value </t>
  </si>
  <si>
    <t>Terminal Multiple</t>
  </si>
  <si>
    <t xml:space="preserve">PV of Terminal </t>
  </si>
  <si>
    <t xml:space="preserve">Shares Outstanding </t>
  </si>
  <si>
    <t>Growth Rate</t>
  </si>
  <si>
    <t>Enterprise Value</t>
  </si>
  <si>
    <t>Instrinsic Value per Share</t>
  </si>
  <si>
    <t>Discount Rate</t>
  </si>
  <si>
    <t>COST OF EQUITY</t>
  </si>
  <si>
    <t>NET DEBT</t>
  </si>
  <si>
    <t>Short-term debt</t>
  </si>
  <si>
    <t>Beta</t>
  </si>
  <si>
    <t>Long-term debt</t>
  </si>
  <si>
    <t>Market risk premium</t>
  </si>
  <si>
    <t>Cash and cash equivalent</t>
  </si>
  <si>
    <t>CAPM</t>
  </si>
  <si>
    <t>Net debt</t>
  </si>
  <si>
    <t>AFTER-TAX COST OF DEBT</t>
  </si>
  <si>
    <t>EQUITY VALUE</t>
  </si>
  <si>
    <t>Interest Rate on Debt</t>
  </si>
  <si>
    <t xml:space="preserve">Less: Net Debt </t>
  </si>
  <si>
    <t>After-tax Cost of Debt</t>
  </si>
  <si>
    <t xml:space="preserve">MARKET VALUE OF EQUITY AND DEBT </t>
  </si>
  <si>
    <t>AVERAGE MATURITY</t>
  </si>
  <si>
    <t xml:space="preserve">Outstanding </t>
  </si>
  <si>
    <t>Maturity</t>
  </si>
  <si>
    <t>YTM</t>
  </si>
  <si>
    <t xml:space="preserve">Market Value of Equity </t>
  </si>
  <si>
    <t>Weight</t>
  </si>
  <si>
    <t xml:space="preserve">Interest Expense </t>
  </si>
  <si>
    <t>Current Cost of Debt</t>
  </si>
  <si>
    <t>Total Debt</t>
  </si>
  <si>
    <r>
      <t>Average Maturity (</t>
    </r>
    <r>
      <rPr>
        <i/>
        <sz val="12"/>
        <color theme="1"/>
        <rFont val="Arial"/>
        <family val="2"/>
      </rPr>
      <t>years)</t>
    </r>
  </si>
  <si>
    <t>Market Value of Debt</t>
  </si>
  <si>
    <t>Total</t>
  </si>
  <si>
    <t>Year -1</t>
  </si>
  <si>
    <t>Risk-free rate (UK 10y)</t>
  </si>
  <si>
    <r>
      <t xml:space="preserve">Share price </t>
    </r>
    <r>
      <rPr>
        <i/>
        <sz val="12"/>
        <color theme="1"/>
        <rFont val="Arial"/>
        <family val="2"/>
      </rPr>
      <t>(13/08/26)</t>
    </r>
  </si>
  <si>
    <t xml:space="preserve">Revolving Credit </t>
  </si>
  <si>
    <t xml:space="preserve">Unsecured Bond </t>
  </si>
  <si>
    <t>Unsecured Bond</t>
  </si>
  <si>
    <t xml:space="preserve">Bank Tier 2 Capital </t>
  </si>
  <si>
    <t xml:space="preserve">Loan </t>
  </si>
  <si>
    <t>Lease liability repayments</t>
  </si>
  <si>
    <t>"Next Level Sainsbury's" blueprint aims to priortise volume increases ahead of price inflation (2.6%). Aim to grow revenue by winning big weekly shops (£80+ baskets) from competitors through aggressive value scheme like Nectar Prices and the Aldi Price Match, which will force internal price deflation. Rapid home delivery serves as a major growth vector for digital sales. Sainsbury's commerce divison expanded by 69% in 2026. Argos sales have fell 0.5% due to cautious consumer spending, and is expected to reamin a heavy drag on total revenue. Argos sale expected to finalise in 2027. We can expect to see a signficant drop in revenue as the retail brought in roughly 4bn to the top-line revenue</t>
  </si>
  <si>
    <t>Change in NWC</t>
  </si>
  <si>
    <t>D&amp;A</t>
  </si>
  <si>
    <t>Live Case</t>
  </si>
  <si>
    <t>Base Case</t>
  </si>
  <si>
    <t>Downside Case</t>
  </si>
  <si>
    <t>Upside Case</t>
  </si>
  <si>
    <t>Cases</t>
  </si>
  <si>
    <t>Share Price</t>
  </si>
  <si>
    <t xml:space="preserve">Share Price Sensitivity </t>
  </si>
  <si>
    <t>WACC</t>
  </si>
  <si>
    <t xml:space="preserve">Change </t>
  </si>
  <si>
    <t>Growth Rate +/-2%</t>
  </si>
  <si>
    <t>£/Share</t>
  </si>
  <si>
    <t>Revenue Growth +/-2%</t>
  </si>
  <si>
    <t>Discount Rate +/-2%</t>
  </si>
  <si>
    <t>Admin Expenses +/-2%</t>
  </si>
  <si>
    <t>Assumptions</t>
  </si>
  <si>
    <t>-5% ∆</t>
  </si>
  <si>
    <t xml:space="preserve">Abs Change </t>
  </si>
  <si>
    <t>Rank</t>
  </si>
  <si>
    <t>Output</t>
  </si>
  <si>
    <t>Driver</t>
  </si>
  <si>
    <t>Pos</t>
  </si>
  <si>
    <t>Neg</t>
  </si>
  <si>
    <t>Impact on Share Price by Change in Assumption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</si>
</sst>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0">
    <numFmt numFmtId="8" formatCode="&quot;£&quot;#,##0.00_);[Red]\(&quot;£&quot;#,##0.00\)"/>
    <numFmt numFmtId="43" formatCode="_(* #,##0.00_);_(* \(#,##0.00\);_(* &quot;-&quot;??_);_(@_)"/>
    <numFmt numFmtId="164" formatCode="#,##0;[Red]\(#,##0\);\-"/>
    <numFmt numFmtId="165" formatCode="0.0%;[Red]\(0.0%\);\-"/>
    <numFmt numFmtId="166" formatCode="0.0\p;[Red]\(0.0\p\);\-"/>
    <numFmt numFmtId="167" formatCode="0.0\x"/>
    <numFmt numFmtId="168" formatCode="_(* #,##0.0_);_(* \(#,##0.0\);_(* &quot;-&quot;??_);_(@_)"/>
    <numFmt numFmtId="169" formatCode="_(* #,##0_);_(* \(#,##0\);_(* &quot;-&quot;??_);_(@_)"/>
    <numFmt numFmtId="170" formatCode="0.0%"/>
    <numFmt numFmtId="171" formatCode="&quot;£&quot;#,##0.00"/>
  </numFmts>
  <fonts count="33">
    <font>
      <sz val="11"/>
      <name val="Carlito"/>
    </font>
    <font>
      <b/>
      <sz val="11"/>
      <color rgb="FFFFFFFF"/>
      <name val="Carlito"/>
    </font>
    <font>
      <b/>
      <sz val="10"/>
      <color rgb="FFFFFFFF"/>
      <name val="Arial"/>
    </font>
    <font>
      <sz val="10"/>
      <name val="Arial"/>
    </font>
    <font>
      <sz val="11"/>
      <name val="Carlito"/>
    </font>
    <font>
      <sz val="11"/>
      <name val="Arial"/>
      <family val="2"/>
    </font>
    <font>
      <b/>
      <sz val="12"/>
      <name val="Arial"/>
      <family val="2"/>
    </font>
    <font>
      <sz val="12"/>
      <name val="Arial"/>
      <family val="2"/>
    </font>
    <font>
      <sz val="12"/>
      <color rgb="FF0000FF"/>
      <name val="Arial"/>
      <family val="2"/>
    </font>
    <font>
      <b/>
      <sz val="12"/>
      <color rgb="FF000000"/>
      <name val="Arial"/>
      <family val="2"/>
    </font>
    <font>
      <sz val="12"/>
      <color rgb="FF000000"/>
      <name val="Arial"/>
      <family val="2"/>
    </font>
    <font>
      <i/>
      <sz val="12"/>
      <color rgb="FF666666"/>
      <name val="Arial"/>
      <family val="2"/>
    </font>
    <font>
      <sz val="12"/>
      <color rgb="FF008000"/>
      <name val="Arial"/>
      <family val="2"/>
    </font>
    <font>
      <i/>
      <sz val="12"/>
      <color rgb="FF000000"/>
      <name val="Arial"/>
      <family val="2"/>
    </font>
    <font>
      <i/>
      <sz val="12"/>
      <name val="Arial"/>
      <family val="2"/>
    </font>
    <font>
      <b/>
      <sz val="11"/>
      <name val="Arial"/>
      <family val="2"/>
    </font>
    <font>
      <sz val="12"/>
      <color theme="1"/>
      <name val="Arial"/>
      <family val="2"/>
    </font>
    <font>
      <sz val="12"/>
      <color theme="3" tint="9.9978637043366805E-2"/>
      <name val="Arial"/>
      <family val="2"/>
    </font>
    <font>
      <sz val="12"/>
      <color rgb="FFFF0000"/>
      <name val="Arial"/>
      <family val="2"/>
    </font>
    <font>
      <sz val="12"/>
      <color theme="9"/>
      <name val="Arial"/>
      <family val="2"/>
    </font>
    <font>
      <sz val="11"/>
      <color theme="0"/>
      <name val="Arial"/>
      <family val="2"/>
    </font>
    <font>
      <b/>
      <sz val="11"/>
      <color theme="0"/>
      <name val="Arial"/>
      <family val="2"/>
    </font>
    <font>
      <b/>
      <sz val="18"/>
      <color theme="0"/>
      <name val="Arial"/>
      <family val="2"/>
    </font>
    <font>
      <b/>
      <sz val="11"/>
      <color theme="1"/>
      <name val="Arial"/>
      <family val="2"/>
    </font>
    <font>
      <b/>
      <sz val="12"/>
      <color theme="1"/>
      <name val="Arial"/>
      <family val="2"/>
    </font>
    <font>
      <b/>
      <sz val="12"/>
      <color theme="0"/>
      <name val="Arial"/>
      <family val="2"/>
    </font>
    <font>
      <i/>
      <sz val="12"/>
      <color theme="1"/>
      <name val="Arial"/>
      <family val="2"/>
    </font>
    <font>
      <i/>
      <sz val="10"/>
      <color theme="1"/>
      <name val="Arial"/>
      <family val="2"/>
    </font>
    <font>
      <i/>
      <sz val="11"/>
      <color theme="1"/>
      <name val="Arial"/>
      <family val="2"/>
    </font>
    <font>
      <b/>
      <sz val="16"/>
      <color rgb="FFFFFFFF"/>
      <name val="Arial"/>
      <family val="2"/>
    </font>
    <font>
      <sz val="16"/>
      <name val="Arial"/>
      <family val="2"/>
    </font>
    <font>
      <b/>
      <sz val="20"/>
      <color rgb="FFFFFFFF"/>
      <name val="Arial"/>
      <family val="2"/>
    </font>
    <font>
      <b/>
      <sz val="20"/>
      <color theme="0"/>
      <name val="Arial"/>
      <family val="2"/>
    </font>
  </fonts>
  <fills count="9">
    <fill>
      <patternFill patternType="none"/>
    </fill>
    <fill>
      <patternFill patternType="gray125"/>
    </fill>
    <fill>
      <patternFill patternType="solid">
        <fgColor rgb="FF17365D"/>
      </patternFill>
    </fill>
    <fill>
      <patternFill patternType="solid">
        <fgColor rgb="FFE7E6E6"/>
      </patternFill>
    </fill>
    <fill>
      <patternFill patternType="solid">
        <fgColor rgb="FFFFF2CC"/>
      </patternFill>
    </fill>
    <fill>
      <patternFill patternType="solid">
        <fgColor rgb="FFFFFF00"/>
        <bgColor indexed="64"/>
      </patternFill>
    </fill>
    <fill>
      <patternFill patternType="solid">
        <fgColor rgb="FFEE7933"/>
        <bgColor indexed="64"/>
      </patternFill>
    </fill>
    <fill>
      <patternFill patternType="solid">
        <fgColor theme="6" tint="0.79998168889431442"/>
        <bgColor indexed="64"/>
      </patternFill>
    </fill>
    <fill>
      <patternFill patternType="solid">
        <fgColor rgb="FFFFC000"/>
        <bgColor indexed="64"/>
      </patternFill>
    </fill>
  </fills>
  <borders count="26">
    <border>
      <left/>
      <right/>
      <top/>
      <bottom/>
      <diagonal/>
    </border>
    <border>
      <left/>
      <right/>
      <top/>
      <bottom/>
      <diagonal/>
    </border>
    <border>
      <left/>
      <right/>
      <top style="thin">
        <color rgb="FF000000"/>
      </top>
      <bottom/>
      <diagonal/>
    </border>
    <border>
      <left/>
      <right/>
      <top style="thin">
        <color rgb="FF000000"/>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right/>
      <top/>
      <bottom style="medium">
        <color indexed="64"/>
      </bottom>
      <diagonal/>
    </border>
    <border>
      <left/>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thin">
        <color indexed="64"/>
      </right>
      <top/>
      <bottom/>
      <diagonal/>
    </border>
    <border>
      <left style="thin">
        <color indexed="64"/>
      </left>
      <right style="thin">
        <color indexed="64"/>
      </right>
      <top style="thin">
        <color indexed="64"/>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style="thin">
        <color indexed="64"/>
      </top>
      <bottom style="medium">
        <color indexed="64"/>
      </bottom>
      <diagonal/>
    </border>
    <border>
      <left/>
      <right style="thin">
        <color indexed="64"/>
      </right>
      <top style="thin">
        <color indexed="64"/>
      </top>
      <bottom style="medium">
        <color indexed="64"/>
      </bottom>
      <diagonal/>
    </border>
    <border>
      <left/>
      <right style="thin">
        <color indexed="64"/>
      </right>
      <top style="thin">
        <color indexed="64"/>
      </top>
      <bottom style="thin">
        <color indexed="64"/>
      </bottom>
      <diagonal/>
    </border>
    <border>
      <left/>
      <right style="dashed">
        <color indexed="64"/>
      </right>
      <top/>
      <bottom/>
      <diagonal/>
    </border>
    <border>
      <left style="dashed">
        <color indexed="64"/>
      </left>
      <right style="dashed">
        <color indexed="64"/>
      </right>
      <top style="dashed">
        <color indexed="64"/>
      </top>
      <bottom style="dashed">
        <color indexed="64"/>
      </bottom>
      <diagonal/>
    </border>
  </borders>
  <cellStyleXfs count="3">
    <xf numFmtId="0" fontId="0" fillId="0" borderId="0"/>
    <xf numFmtId="43" fontId="4" fillId="0" borderId="0" applyFont="0" applyFill="0" applyBorder="0" applyAlignment="0" applyProtection="0"/>
    <xf numFmtId="9" fontId="4" fillId="0" borderId="0" applyFont="0" applyFill="0" applyBorder="0" applyAlignment="0" applyProtection="0"/>
  </cellStyleXfs>
  <cellXfs count="215">
    <xf numFmtId="0" fontId="0" fillId="0" borderId="0" xfId="0"/>
    <xf numFmtId="0" fontId="0" fillId="0" borderId="0" xfId="0" applyAlignment="1">
      <alignment wrapText="1"/>
    </xf>
    <xf numFmtId="0" fontId="2" fillId="2" borderId="0" xfId="0" applyFont="1" applyFill="1" applyAlignment="1">
      <alignment wrapText="1"/>
    </xf>
    <xf numFmtId="0" fontId="3" fillId="0" borderId="0" xfId="0" applyFont="1" applyAlignment="1">
      <alignment wrapText="1"/>
    </xf>
    <xf numFmtId="0" fontId="5" fillId="0" borderId="0" xfId="0" applyFont="1"/>
    <xf numFmtId="0" fontId="6" fillId="3" borderId="0" xfId="0" applyFont="1" applyFill="1" applyAlignment="1">
      <alignment horizontal="right"/>
    </xf>
    <xf numFmtId="0" fontId="7" fillId="0" borderId="0" xfId="0" applyFont="1"/>
    <xf numFmtId="164" fontId="8" fillId="0" borderId="0" xfId="0" applyNumberFormat="1" applyFont="1" applyAlignment="1">
      <alignment horizontal="right"/>
    </xf>
    <xf numFmtId="0" fontId="9" fillId="0" borderId="2" xfId="0" applyFont="1" applyBorder="1"/>
    <xf numFmtId="0" fontId="9" fillId="0" borderId="3" xfId="0" applyFont="1" applyBorder="1"/>
    <xf numFmtId="164" fontId="9" fillId="0" borderId="2" xfId="0" applyNumberFormat="1" applyFont="1" applyBorder="1" applyAlignment="1">
      <alignment horizontal="right"/>
    </xf>
    <xf numFmtId="0" fontId="10" fillId="0" borderId="0" xfId="0" applyFont="1"/>
    <xf numFmtId="165" fontId="10" fillId="0" borderId="0" xfId="0" applyNumberFormat="1" applyFont="1" applyAlignment="1">
      <alignment horizontal="right"/>
    </xf>
    <xf numFmtId="166" fontId="8" fillId="0" borderId="0" xfId="0" applyNumberFormat="1" applyFont="1" applyAlignment="1">
      <alignment horizontal="right"/>
    </xf>
    <xf numFmtId="164" fontId="12" fillId="0" borderId="0" xfId="0" applyNumberFormat="1" applyFont="1" applyAlignment="1">
      <alignment horizontal="right"/>
    </xf>
    <xf numFmtId="0" fontId="9" fillId="0" borderId="0" xfId="0" applyFont="1"/>
    <xf numFmtId="164" fontId="9" fillId="0" borderId="0" xfId="0" applyNumberFormat="1" applyFont="1" applyAlignment="1">
      <alignment horizontal="right"/>
    </xf>
    <xf numFmtId="164" fontId="10" fillId="0" borderId="0" xfId="0" applyNumberFormat="1" applyFont="1" applyAlignment="1">
      <alignment horizontal="right"/>
    </xf>
    <xf numFmtId="167" fontId="10" fillId="0" borderId="0" xfId="0" applyNumberFormat="1" applyFont="1" applyAlignment="1">
      <alignment horizontal="right"/>
    </xf>
    <xf numFmtId="0" fontId="13" fillId="0" borderId="0" xfId="0" applyFont="1"/>
    <xf numFmtId="165" fontId="13" fillId="0" borderId="0" xfId="0" applyNumberFormat="1" applyFont="1" applyAlignment="1">
      <alignment horizontal="right"/>
    </xf>
    <xf numFmtId="0" fontId="14" fillId="0" borderId="0" xfId="0" applyFont="1"/>
    <xf numFmtId="0" fontId="6" fillId="0" borderId="0" xfId="0" applyFont="1"/>
    <xf numFmtId="0" fontId="6" fillId="0" borderId="0" xfId="0" applyFont="1" applyAlignment="1">
      <alignment horizontal="right"/>
    </xf>
    <xf numFmtId="164" fontId="8" fillId="0" borderId="0" xfId="0" applyNumberFormat="1" applyFont="1"/>
    <xf numFmtId="164" fontId="10" fillId="0" borderId="0" xfId="0" applyNumberFormat="1" applyFont="1"/>
    <xf numFmtId="164" fontId="12" fillId="0" borderId="0" xfId="0" applyNumberFormat="1" applyFont="1"/>
    <xf numFmtId="0" fontId="7" fillId="0" borderId="2" xfId="0" applyFont="1" applyBorder="1"/>
    <xf numFmtId="164" fontId="12" fillId="0" borderId="2" xfId="0" applyNumberFormat="1" applyFont="1" applyBorder="1"/>
    <xf numFmtId="164" fontId="7" fillId="0" borderId="0" xfId="0" applyNumberFormat="1" applyFont="1"/>
    <xf numFmtId="167" fontId="10" fillId="0" borderId="0" xfId="0" applyNumberFormat="1" applyFont="1"/>
    <xf numFmtId="164" fontId="10" fillId="0" borderId="2" xfId="0" applyNumberFormat="1" applyFont="1" applyBorder="1"/>
    <xf numFmtId="165" fontId="10" fillId="0" borderId="0" xfId="0" applyNumberFormat="1" applyFont="1"/>
    <xf numFmtId="0" fontId="7" fillId="0" borderId="0" xfId="0" applyFont="1" applyAlignment="1">
      <alignment wrapText="1"/>
    </xf>
    <xf numFmtId="43" fontId="7" fillId="0" borderId="0" xfId="1" applyFont="1"/>
    <xf numFmtId="168" fontId="7" fillId="0" borderId="0" xfId="1" applyNumberFormat="1" applyFont="1"/>
    <xf numFmtId="169" fontId="7" fillId="0" borderId="0" xfId="1" applyNumberFormat="1" applyFont="1"/>
    <xf numFmtId="164" fontId="16" fillId="0" borderId="0" xfId="0" applyNumberFormat="1" applyFont="1" applyAlignment="1">
      <alignment horizontal="right"/>
    </xf>
    <xf numFmtId="169" fontId="8" fillId="0" borderId="0" xfId="1" applyNumberFormat="1" applyFont="1" applyAlignment="1">
      <alignment horizontal="right"/>
    </xf>
    <xf numFmtId="166" fontId="16" fillId="0" borderId="0" xfId="0" applyNumberFormat="1" applyFont="1" applyAlignment="1">
      <alignment horizontal="right"/>
    </xf>
    <xf numFmtId="9" fontId="7" fillId="0" borderId="0" xfId="2" applyFont="1"/>
    <xf numFmtId="10" fontId="7" fillId="0" borderId="0" xfId="2" applyNumberFormat="1" applyFont="1"/>
    <xf numFmtId="169" fontId="18" fillId="0" borderId="0" xfId="1" applyNumberFormat="1" applyFont="1"/>
    <xf numFmtId="169" fontId="18" fillId="0" borderId="0" xfId="1" applyNumberFormat="1" applyFont="1" applyAlignment="1">
      <alignment horizontal="right"/>
    </xf>
    <xf numFmtId="169" fontId="19" fillId="0" borderId="0" xfId="1" applyNumberFormat="1" applyFont="1" applyAlignment="1">
      <alignment horizontal="right"/>
    </xf>
    <xf numFmtId="164" fontId="19" fillId="0" borderId="0" xfId="0" applyNumberFormat="1" applyFont="1" applyAlignment="1">
      <alignment horizontal="right"/>
    </xf>
    <xf numFmtId="169" fontId="19" fillId="0" borderId="0" xfId="1" applyNumberFormat="1" applyFont="1"/>
    <xf numFmtId="0" fontId="19" fillId="0" borderId="0" xfId="0" applyFont="1"/>
    <xf numFmtId="0" fontId="6" fillId="0" borderId="0" xfId="0" applyFont="1" applyAlignment="1">
      <alignment wrapText="1"/>
    </xf>
    <xf numFmtId="169" fontId="7" fillId="0" borderId="0" xfId="0" applyNumberFormat="1" applyFont="1"/>
    <xf numFmtId="0" fontId="7" fillId="0" borderId="5" xfId="0" applyFont="1" applyBorder="1" applyAlignment="1">
      <alignment wrapText="1"/>
    </xf>
    <xf numFmtId="43" fontId="7" fillId="0" borderId="6" xfId="1" applyFont="1" applyBorder="1"/>
    <xf numFmtId="43" fontId="7" fillId="0" borderId="7" xfId="1" applyFont="1" applyBorder="1"/>
    <xf numFmtId="0" fontId="7" fillId="0" borderId="8" xfId="0" applyFont="1" applyBorder="1" applyAlignment="1">
      <alignment wrapText="1"/>
    </xf>
    <xf numFmtId="43" fontId="7" fillId="0" borderId="9" xfId="1" applyFont="1" applyBorder="1"/>
    <xf numFmtId="43" fontId="7" fillId="0" borderId="10" xfId="1" applyFont="1" applyBorder="1"/>
    <xf numFmtId="169" fontId="7" fillId="0" borderId="9" xfId="1" applyNumberFormat="1" applyFont="1" applyBorder="1"/>
    <xf numFmtId="169" fontId="7" fillId="0" borderId="10" xfId="1" applyNumberFormat="1" applyFont="1" applyBorder="1"/>
    <xf numFmtId="169" fontId="7" fillId="0" borderId="6" xfId="1" applyNumberFormat="1" applyFont="1" applyBorder="1"/>
    <xf numFmtId="0" fontId="7" fillId="0" borderId="7" xfId="0" applyFont="1" applyBorder="1"/>
    <xf numFmtId="0" fontId="7" fillId="0" borderId="10" xfId="0" applyFont="1" applyBorder="1"/>
    <xf numFmtId="0" fontId="7" fillId="0" borderId="6" xfId="0" applyFont="1" applyBorder="1"/>
    <xf numFmtId="0" fontId="7" fillId="0" borderId="9" xfId="0" applyFont="1" applyBorder="1"/>
    <xf numFmtId="169" fontId="10" fillId="0" borderId="0" xfId="1" applyNumberFormat="1" applyFont="1"/>
    <xf numFmtId="164" fontId="7" fillId="0" borderId="6" xfId="0" applyNumberFormat="1" applyFont="1" applyBorder="1"/>
    <xf numFmtId="169" fontId="6" fillId="0" borderId="0" xfId="1" applyNumberFormat="1" applyFont="1"/>
    <xf numFmtId="169" fontId="7" fillId="0" borderId="1" xfId="1" applyNumberFormat="1" applyFont="1" applyBorder="1"/>
    <xf numFmtId="43" fontId="7" fillId="0" borderId="1" xfId="1" applyFont="1" applyBorder="1"/>
    <xf numFmtId="0" fontId="7" fillId="0" borderId="1" xfId="0" applyFont="1" applyBorder="1"/>
    <xf numFmtId="1" fontId="7" fillId="0" borderId="0" xfId="0" applyNumberFormat="1" applyFont="1"/>
    <xf numFmtId="0" fontId="9" fillId="0" borderId="1" xfId="0" applyFont="1" applyBorder="1"/>
    <xf numFmtId="164" fontId="9" fillId="0" borderId="1" xfId="0" applyNumberFormat="1" applyFont="1" applyBorder="1" applyAlignment="1">
      <alignment horizontal="right"/>
    </xf>
    <xf numFmtId="0" fontId="10" fillId="0" borderId="1" xfId="0" applyFont="1" applyBorder="1"/>
    <xf numFmtId="0" fontId="5" fillId="0" borderId="0" xfId="0" applyFont="1" applyAlignment="1">
      <alignment horizontal="center"/>
    </xf>
    <xf numFmtId="0" fontId="5" fillId="0" borderId="14" xfId="0" applyFont="1" applyBorder="1"/>
    <xf numFmtId="169" fontId="5" fillId="0" borderId="0" xfId="1" applyNumberFormat="1" applyFont="1"/>
    <xf numFmtId="10" fontId="5" fillId="0" borderId="0" xfId="2" applyNumberFormat="1" applyFont="1"/>
    <xf numFmtId="10" fontId="5" fillId="0" borderId="14" xfId="2" applyNumberFormat="1" applyFont="1" applyBorder="1"/>
    <xf numFmtId="169" fontId="5" fillId="0" borderId="14" xfId="1" applyNumberFormat="1" applyFont="1" applyBorder="1"/>
    <xf numFmtId="169" fontId="5" fillId="0" borderId="6" xfId="1" applyNumberFormat="1" applyFont="1" applyBorder="1"/>
    <xf numFmtId="169" fontId="5" fillId="0" borderId="15" xfId="1" applyNumberFormat="1" applyFont="1" applyBorder="1"/>
    <xf numFmtId="9" fontId="5" fillId="0" borderId="0" xfId="2" applyFont="1"/>
    <xf numFmtId="9" fontId="5" fillId="0" borderId="14" xfId="2" applyFont="1" applyBorder="1"/>
    <xf numFmtId="169" fontId="5" fillId="0" borderId="4" xfId="1" applyNumberFormat="1" applyFont="1" applyBorder="1"/>
    <xf numFmtId="0" fontId="5" fillId="0" borderId="9" xfId="0" applyFont="1" applyBorder="1"/>
    <xf numFmtId="0" fontId="15" fillId="0" borderId="11" xfId="0" applyFont="1" applyBorder="1"/>
    <xf numFmtId="0" fontId="15" fillId="0" borderId="12" xfId="0" applyFont="1" applyBorder="1"/>
    <xf numFmtId="0" fontId="15" fillId="0" borderId="13" xfId="0" applyFont="1" applyBorder="1" applyAlignment="1">
      <alignment horizontal="right"/>
    </xf>
    <xf numFmtId="0" fontId="15" fillId="0" borderId="0" xfId="0" applyFont="1"/>
    <xf numFmtId="9" fontId="5" fillId="0" borderId="16" xfId="2" applyFont="1" applyBorder="1"/>
    <xf numFmtId="169" fontId="15" fillId="0" borderId="6" xfId="1" applyNumberFormat="1" applyFont="1" applyBorder="1"/>
    <xf numFmtId="169" fontId="15" fillId="0" borderId="15" xfId="1" applyNumberFormat="1" applyFont="1" applyBorder="1"/>
    <xf numFmtId="169" fontId="5" fillId="0" borderId="12" xfId="1" applyNumberFormat="1" applyFont="1" applyBorder="1"/>
    <xf numFmtId="169" fontId="5" fillId="0" borderId="5" xfId="0" applyNumberFormat="1" applyFont="1" applyBorder="1"/>
    <xf numFmtId="169" fontId="5" fillId="0" borderId="6" xfId="0" applyNumberFormat="1" applyFont="1" applyBorder="1"/>
    <xf numFmtId="169" fontId="5" fillId="0" borderId="15" xfId="0" applyNumberFormat="1" applyFont="1" applyBorder="1"/>
    <xf numFmtId="0" fontId="5" fillId="0" borderId="8" xfId="0" applyFont="1" applyBorder="1"/>
    <xf numFmtId="169" fontId="5" fillId="0" borderId="16" xfId="0" applyNumberFormat="1" applyFont="1" applyBorder="1"/>
    <xf numFmtId="169" fontId="5" fillId="0" borderId="0" xfId="0" applyNumberFormat="1" applyFont="1"/>
    <xf numFmtId="169" fontId="5" fillId="0" borderId="14" xfId="0" applyNumberFormat="1" applyFont="1" applyBorder="1"/>
    <xf numFmtId="43" fontId="5" fillId="0" borderId="0" xfId="1" applyFont="1"/>
    <xf numFmtId="43" fontId="5" fillId="0" borderId="0" xfId="0" applyNumberFormat="1" applyFont="1"/>
    <xf numFmtId="0" fontId="15" fillId="0" borderId="17" xfId="0" applyFont="1" applyBorder="1"/>
    <xf numFmtId="0" fontId="5" fillId="0" borderId="18" xfId="0" applyFont="1" applyBorder="1"/>
    <xf numFmtId="169" fontId="15" fillId="0" borderId="18" xfId="0" applyNumberFormat="1" applyFont="1" applyBorder="1"/>
    <xf numFmtId="169" fontId="15" fillId="0" borderId="4" xfId="0" applyNumberFormat="1" applyFont="1" applyBorder="1"/>
    <xf numFmtId="0" fontId="15" fillId="0" borderId="1" xfId="0" applyFont="1" applyBorder="1"/>
    <xf numFmtId="0" fontId="5" fillId="0" borderId="1" xfId="0" applyFont="1" applyBorder="1"/>
    <xf numFmtId="169" fontId="15" fillId="0" borderId="1" xfId="0" applyNumberFormat="1" applyFont="1" applyBorder="1"/>
    <xf numFmtId="0" fontId="15" fillId="0" borderId="9" xfId="0" applyFont="1" applyBorder="1"/>
    <xf numFmtId="169" fontId="15" fillId="0" borderId="9" xfId="0" applyNumberFormat="1" applyFont="1" applyBorder="1"/>
    <xf numFmtId="0" fontId="24" fillId="0" borderId="0" xfId="0" applyFont="1"/>
    <xf numFmtId="0" fontId="7" fillId="0" borderId="5" xfId="0" applyFont="1" applyBorder="1"/>
    <xf numFmtId="169" fontId="7" fillId="0" borderId="7" xfId="1" applyNumberFormat="1" applyFont="1" applyBorder="1"/>
    <xf numFmtId="0" fontId="16" fillId="0" borderId="5" xfId="0" applyFont="1" applyBorder="1" applyAlignment="1">
      <alignment horizontal="left" indent="1"/>
    </xf>
    <xf numFmtId="0" fontId="5" fillId="0" borderId="6" xfId="0" applyFont="1" applyBorder="1"/>
    <xf numFmtId="169" fontId="5" fillId="0" borderId="7" xfId="1" applyNumberFormat="1" applyFont="1" applyBorder="1"/>
    <xf numFmtId="0" fontId="7" fillId="0" borderId="19" xfId="0" applyFont="1" applyBorder="1"/>
    <xf numFmtId="2" fontId="7" fillId="0" borderId="20" xfId="0" applyNumberFormat="1" applyFont="1" applyBorder="1"/>
    <xf numFmtId="0" fontId="16" fillId="0" borderId="19" xfId="0" applyFont="1" applyBorder="1" applyAlignment="1">
      <alignment horizontal="left" indent="1"/>
    </xf>
    <xf numFmtId="169" fontId="5" fillId="0" borderId="20" xfId="1" applyNumberFormat="1" applyFont="1" applyBorder="1"/>
    <xf numFmtId="9" fontId="7" fillId="0" borderId="20" xfId="0" applyNumberFormat="1" applyFont="1" applyBorder="1"/>
    <xf numFmtId="0" fontId="7" fillId="0" borderId="8" xfId="0" applyFont="1" applyBorder="1"/>
    <xf numFmtId="10" fontId="7" fillId="0" borderId="10" xfId="2" applyNumberFormat="1" applyFont="1" applyBorder="1"/>
    <xf numFmtId="10" fontId="7" fillId="0" borderId="7" xfId="0" applyNumberFormat="1" applyFont="1" applyBorder="1"/>
    <xf numFmtId="0" fontId="7" fillId="0" borderId="20" xfId="0" applyFont="1" applyBorder="1"/>
    <xf numFmtId="169" fontId="7" fillId="0" borderId="20" xfId="1" applyNumberFormat="1" applyFont="1" applyBorder="1"/>
    <xf numFmtId="169" fontId="7" fillId="0" borderId="7" xfId="0" applyNumberFormat="1" applyFont="1" applyBorder="1"/>
    <xf numFmtId="0" fontId="24" fillId="0" borderId="1" xfId="0" applyFont="1" applyBorder="1"/>
    <xf numFmtId="0" fontId="5" fillId="0" borderId="17" xfId="0" applyFont="1" applyBorder="1"/>
    <xf numFmtId="0" fontId="5" fillId="0" borderId="18" xfId="0" applyFont="1" applyBorder="1" applyAlignment="1">
      <alignment horizontal="right"/>
    </xf>
    <xf numFmtId="0" fontId="5" fillId="0" borderId="23" xfId="0" applyFont="1" applyBorder="1" applyAlignment="1">
      <alignment horizontal="right"/>
    </xf>
    <xf numFmtId="3" fontId="7" fillId="0" borderId="20" xfId="0" applyNumberFormat="1" applyFont="1" applyBorder="1"/>
    <xf numFmtId="0" fontId="27" fillId="0" borderId="19" xfId="0" applyFont="1" applyBorder="1" applyAlignment="1">
      <alignment horizontal="left" indent="2"/>
    </xf>
    <xf numFmtId="170" fontId="7" fillId="0" borderId="20" xfId="2" applyNumberFormat="1" applyFont="1" applyBorder="1"/>
    <xf numFmtId="10" fontId="7" fillId="0" borderId="20" xfId="0" applyNumberFormat="1" applyFont="1" applyBorder="1"/>
    <xf numFmtId="0" fontId="28" fillId="0" borderId="8" xfId="0" applyFont="1" applyBorder="1" applyAlignment="1">
      <alignment horizontal="left" indent="2"/>
    </xf>
    <xf numFmtId="9" fontId="7" fillId="0" borderId="10" xfId="2" applyFont="1" applyBorder="1"/>
    <xf numFmtId="8" fontId="5" fillId="0" borderId="0" xfId="0" applyNumberFormat="1" applyFont="1"/>
    <xf numFmtId="0" fontId="15" fillId="0" borderId="18" xfId="0" applyFont="1" applyBorder="1"/>
    <xf numFmtId="169" fontId="15" fillId="0" borderId="23" xfId="1" applyNumberFormat="1" applyFont="1" applyBorder="1"/>
    <xf numFmtId="0" fontId="30" fillId="6" borderId="0" xfId="0" applyFont="1" applyFill="1"/>
    <xf numFmtId="0" fontId="6" fillId="7" borderId="0" xfId="0" applyFont="1" applyFill="1" applyAlignment="1">
      <alignment horizontal="right"/>
    </xf>
    <xf numFmtId="0" fontId="20" fillId="6" borderId="0" xfId="0" applyFont="1" applyFill="1"/>
    <xf numFmtId="0" fontId="20" fillId="6" borderId="1" xfId="0" applyFont="1" applyFill="1" applyBorder="1"/>
    <xf numFmtId="0" fontId="21" fillId="6" borderId="11" xfId="0" applyFont="1" applyFill="1" applyBorder="1"/>
    <xf numFmtId="0" fontId="21" fillId="6" borderId="12" xfId="0" applyFont="1" applyFill="1" applyBorder="1"/>
    <xf numFmtId="0" fontId="21" fillId="6" borderId="13" xfId="0" applyFont="1" applyFill="1" applyBorder="1" applyAlignment="1">
      <alignment horizontal="right"/>
    </xf>
    <xf numFmtId="0" fontId="22" fillId="6" borderId="0" xfId="0" applyFont="1" applyFill="1"/>
    <xf numFmtId="0" fontId="23" fillId="6" borderId="0" xfId="0" applyFont="1" applyFill="1"/>
    <xf numFmtId="0" fontId="25" fillId="6" borderId="21" xfId="0" applyFont="1" applyFill="1" applyBorder="1" applyAlignment="1">
      <alignment horizontal="left" indent="1"/>
    </xf>
    <xf numFmtId="2" fontId="21" fillId="6" borderId="22" xfId="0" applyNumberFormat="1" applyFont="1" applyFill="1" applyBorder="1"/>
    <xf numFmtId="0" fontId="6" fillId="0" borderId="17" xfId="0" applyFont="1" applyBorder="1"/>
    <xf numFmtId="0" fontId="6" fillId="0" borderId="18" xfId="0" applyFont="1" applyBorder="1"/>
    <xf numFmtId="169" fontId="6" fillId="0" borderId="23" xfId="1" applyNumberFormat="1" applyFont="1" applyBorder="1"/>
    <xf numFmtId="169" fontId="6" fillId="0" borderId="23" xfId="0" applyNumberFormat="1" applyFont="1" applyBorder="1"/>
    <xf numFmtId="10" fontId="6" fillId="0" borderId="23" xfId="0" applyNumberFormat="1" applyFont="1" applyBorder="1"/>
    <xf numFmtId="10" fontId="6" fillId="0" borderId="23" xfId="2" applyNumberFormat="1" applyFont="1" applyBorder="1"/>
    <xf numFmtId="0" fontId="24" fillId="0" borderId="17" xfId="0" applyFont="1" applyBorder="1" applyAlignment="1">
      <alignment horizontal="left" indent="1"/>
    </xf>
    <xf numFmtId="0" fontId="7" fillId="0" borderId="19" xfId="0" applyFont="1" applyBorder="1" applyAlignment="1">
      <alignment wrapText="1"/>
    </xf>
    <xf numFmtId="43" fontId="7" fillId="0" borderId="20" xfId="1" applyFont="1" applyBorder="1"/>
    <xf numFmtId="169" fontId="6" fillId="0" borderId="0" xfId="0" applyNumberFormat="1" applyFont="1"/>
    <xf numFmtId="164" fontId="6" fillId="0" borderId="0" xfId="0" applyNumberFormat="1" applyFont="1"/>
    <xf numFmtId="1" fontId="7" fillId="0" borderId="0" xfId="0" applyNumberFormat="1" applyFont="1" applyAlignment="1">
      <alignment horizontal="right"/>
    </xf>
    <xf numFmtId="0" fontId="7" fillId="0" borderId="4" xfId="0" applyFont="1" applyBorder="1"/>
    <xf numFmtId="10" fontId="7" fillId="0" borderId="4" xfId="0" applyNumberFormat="1" applyFont="1" applyBorder="1"/>
    <xf numFmtId="9" fontId="7" fillId="0" borderId="4" xfId="0" applyNumberFormat="1" applyFont="1" applyBorder="1"/>
    <xf numFmtId="169" fontId="7" fillId="0" borderId="4" xfId="1" applyNumberFormat="1" applyFont="1" applyBorder="1"/>
    <xf numFmtId="0" fontId="6" fillId="0" borderId="4" xfId="0" applyFont="1" applyBorder="1"/>
    <xf numFmtId="0" fontId="32" fillId="6" borderId="4" xfId="0" applyFont="1" applyFill="1" applyBorder="1"/>
    <xf numFmtId="0" fontId="7" fillId="0" borderId="4" xfId="0" applyFont="1" applyBorder="1" applyAlignment="1">
      <alignment vertical="top" wrapText="1"/>
    </xf>
    <xf numFmtId="0" fontId="7" fillId="0" borderId="4" xfId="0" applyFont="1" applyBorder="1" applyAlignment="1">
      <alignment vertical="top"/>
    </xf>
    <xf numFmtId="10" fontId="14" fillId="0" borderId="24" xfId="2" applyNumberFormat="1" applyFont="1" applyBorder="1"/>
    <xf numFmtId="0" fontId="7" fillId="5" borderId="25" xfId="0" applyFont="1" applyFill="1" applyBorder="1"/>
    <xf numFmtId="10" fontId="17" fillId="0" borderId="4" xfId="0" applyNumberFormat="1" applyFont="1" applyBorder="1"/>
    <xf numFmtId="9" fontId="17" fillId="0" borderId="4" xfId="0" applyNumberFormat="1" applyFont="1" applyBorder="1"/>
    <xf numFmtId="0" fontId="17" fillId="0" borderId="4" xfId="0" applyFont="1" applyBorder="1"/>
    <xf numFmtId="169" fontId="17" fillId="0" borderId="4" xfId="1" applyNumberFormat="1" applyFont="1" applyBorder="1"/>
    <xf numFmtId="0" fontId="17" fillId="0" borderId="0" xfId="0" applyFont="1"/>
    <xf numFmtId="171" fontId="14" fillId="5" borderId="25" xfId="0" applyNumberFormat="1" applyFont="1" applyFill="1" applyBorder="1"/>
    <xf numFmtId="10" fontId="7" fillId="0" borderId="0" xfId="2" applyNumberFormat="1" applyFont="1" applyFill="1"/>
    <xf numFmtId="10" fontId="14" fillId="0" borderId="1" xfId="2" applyNumberFormat="1" applyFont="1" applyFill="1" applyBorder="1"/>
    <xf numFmtId="171" fontId="14" fillId="0" borderId="1" xfId="0" applyNumberFormat="1" applyFont="1" applyBorder="1"/>
    <xf numFmtId="2" fontId="5" fillId="0" borderId="1" xfId="0" applyNumberFormat="1" applyFont="1" applyBorder="1"/>
    <xf numFmtId="170" fontId="15" fillId="0" borderId="18" xfId="0" applyNumberFormat="1" applyFont="1" applyBorder="1"/>
    <xf numFmtId="170" fontId="15" fillId="0" borderId="20" xfId="2" applyNumberFormat="1" applyFont="1" applyBorder="1"/>
    <xf numFmtId="2" fontId="5" fillId="0" borderId="0" xfId="0" applyNumberFormat="1" applyFont="1"/>
    <xf numFmtId="2" fontId="5" fillId="8" borderId="0" xfId="0" applyNumberFormat="1" applyFont="1" applyFill="1"/>
    <xf numFmtId="2" fontId="5" fillId="6" borderId="0" xfId="0" applyNumberFormat="1" applyFont="1" applyFill="1"/>
    <xf numFmtId="0" fontId="21" fillId="6" borderId="0" xfId="0" applyFont="1" applyFill="1" applyAlignment="1">
      <alignment horizontal="left"/>
    </xf>
    <xf numFmtId="0" fontId="15" fillId="0" borderId="0" xfId="0" applyFont="1" applyAlignment="1">
      <alignment horizontal="center"/>
    </xf>
    <xf numFmtId="9" fontId="5" fillId="0" borderId="0" xfId="0" applyNumberFormat="1" applyFont="1" applyAlignment="1">
      <alignment horizontal="center"/>
    </xf>
    <xf numFmtId="2" fontId="5" fillId="0" borderId="0" xfId="0" applyNumberFormat="1" applyFont="1" applyAlignment="1">
      <alignment horizontal="center"/>
    </xf>
    <xf numFmtId="0" fontId="21" fillId="6" borderId="0" xfId="0" applyFont="1" applyFill="1" applyAlignment="1">
      <alignment horizontal="center"/>
    </xf>
    <xf numFmtId="9" fontId="5" fillId="0" borderId="0" xfId="2" applyFont="1" applyAlignment="1">
      <alignment horizontal="center"/>
    </xf>
    <xf numFmtId="0" fontId="21" fillId="6" borderId="0" xfId="0" applyFont="1" applyFill="1"/>
    <xf numFmtId="9" fontId="21" fillId="6" borderId="0" xfId="0" applyNumberFormat="1" applyFont="1" applyFill="1" applyAlignment="1">
      <alignment horizontal="center"/>
    </xf>
    <xf numFmtId="0" fontId="11" fillId="0" borderId="0" xfId="0" applyFont="1" applyAlignment="1">
      <alignment wrapText="1"/>
    </xf>
    <xf numFmtId="0" fontId="31" fillId="6" borderId="0" xfId="0" applyFont="1" applyFill="1" applyAlignment="1">
      <alignment horizontal="left"/>
    </xf>
    <xf numFmtId="0" fontId="7" fillId="4" borderId="0" xfId="0" applyFont="1" applyFill="1" applyAlignment="1">
      <alignment wrapText="1"/>
    </xf>
    <xf numFmtId="0" fontId="6" fillId="0" borderId="9" xfId="0" applyFont="1" applyBorder="1" applyAlignment="1">
      <alignment horizontal="right"/>
    </xf>
    <xf numFmtId="0" fontId="21" fillId="6" borderId="0" xfId="0" applyFont="1" applyFill="1" applyAlignment="1">
      <alignment horizontal="center" vertical="center"/>
    </xf>
    <xf numFmtId="0" fontId="21" fillId="6" borderId="0" xfId="0" applyFont="1" applyFill="1" applyAlignment="1">
      <alignment horizontal="center"/>
    </xf>
    <xf numFmtId="0" fontId="15" fillId="0" borderId="20" xfId="0" applyFont="1" applyBorder="1" applyAlignment="1">
      <alignment horizontal="center" vertical="center"/>
    </xf>
    <xf numFmtId="0" fontId="15" fillId="0" borderId="9" xfId="0" applyFont="1" applyBorder="1" applyAlignment="1">
      <alignment horizontal="center"/>
    </xf>
    <xf numFmtId="0" fontId="7" fillId="0" borderId="19" xfId="0" applyFont="1" applyBorder="1" applyAlignment="1">
      <alignment horizontal="left"/>
    </xf>
    <xf numFmtId="0" fontId="7" fillId="0" borderId="1" xfId="0" applyFont="1" applyBorder="1" applyAlignment="1">
      <alignment horizontal="left"/>
    </xf>
    <xf numFmtId="0" fontId="5" fillId="0" borderId="0" xfId="0" applyFont="1" applyAlignment="1">
      <alignment horizontal="center"/>
    </xf>
    <xf numFmtId="0" fontId="7" fillId="0" borderId="19" xfId="0" applyFont="1" applyBorder="1" applyAlignment="1">
      <alignment horizontal="left" vertical="center" wrapText="1"/>
    </xf>
    <xf numFmtId="0" fontId="7" fillId="0" borderId="1" xfId="0" applyFont="1" applyBorder="1" applyAlignment="1">
      <alignment horizontal="left" vertical="center" wrapText="1"/>
    </xf>
    <xf numFmtId="0" fontId="7" fillId="0" borderId="5" xfId="0" applyFont="1" applyBorder="1" applyAlignment="1">
      <alignment horizontal="left"/>
    </xf>
    <xf numFmtId="0" fontId="7" fillId="0" borderId="6" xfId="0" applyFont="1" applyBorder="1" applyAlignment="1">
      <alignment horizontal="left"/>
    </xf>
    <xf numFmtId="0" fontId="29" fillId="6" borderId="0" xfId="0" applyFont="1" applyFill="1"/>
    <xf numFmtId="0" fontId="6" fillId="0" borderId="1" xfId="0" applyFont="1" applyBorder="1" applyAlignment="1">
      <alignment horizontal="left" vertical="center" wrapText="1"/>
    </xf>
    <xf numFmtId="0" fontId="1" fillId="2" borderId="0" xfId="0" applyFont="1" applyFill="1"/>
  </cellXfs>
  <cellStyles count="3">
    <cellStyle name="Comma" xfId="1" builtinId="3"/>
    <cellStyle name="Normal" xfId="0" builtinId="0"/>
    <cellStyle name="Per cent" xfId="2" builtinId="5"/>
  </cellStyles>
  <dxfs count="0"/>
  <tableStyles count="0" defaultTableStyle="TableStyleMedium2" defaultPivotStyle="PivotStyleLight16"/>
  <colors>
    <mruColors>
      <color rgb="FFEE7933"/>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barChart>
        <c:barDir val="bar"/>
        <c:grouping val="stacked"/>
        <c:varyColors val="0"/>
        <c:ser>
          <c:idx val="0"/>
          <c:order val="0"/>
          <c:tx>
            <c:v>Pos</c:v>
          </c:tx>
          <c:spPr>
            <a:solidFill>
              <a:schemeClr val="accent1"/>
            </a:solidFill>
            <a:ln>
              <a:noFill/>
            </a:ln>
            <a:effectLst/>
          </c:spPr>
          <c:invertIfNegative val="0"/>
          <c:cat>
            <c:strRef>
              <c:f>DCF!$X$80:$X$83</c:f>
              <c:strCache>
                <c:ptCount val="4"/>
                <c:pt idx="0">
                  <c:v>Growth Rate +/-2%</c:v>
                </c:pt>
                <c:pt idx="1">
                  <c:v>Revenue Growth +/-2%</c:v>
                </c:pt>
                <c:pt idx="2">
                  <c:v>Discount Rate +/-2%</c:v>
                </c:pt>
                <c:pt idx="3">
                  <c:v>Admin Expenses +/-2%</c:v>
                </c:pt>
              </c:strCache>
            </c:strRef>
          </c:cat>
          <c:val>
            <c:numRef>
              <c:f>DCF!$Z$80:$Z$83</c:f>
              <c:numCache>
                <c:formatCode>0%</c:formatCode>
                <c:ptCount val="4"/>
                <c:pt idx="0">
                  <c:v>0.16615193187474953</c:v>
                </c:pt>
                <c:pt idx="1">
                  <c:v>0.16718745855726225</c:v>
                </c:pt>
                <c:pt idx="2">
                  <c:v>0.3779626015007933</c:v>
                </c:pt>
                <c:pt idx="3">
                  <c:v>1.0059159445125097</c:v>
                </c:pt>
              </c:numCache>
            </c:numRef>
          </c:val>
          <c:extLst>
            <c:ext xmlns:c16="http://schemas.microsoft.com/office/drawing/2014/chart" uri="{C3380CC4-5D6E-409C-BE32-E72D297353CC}">
              <c16:uniqueId val="{00000000-96CC-2F49-8DBB-B6EE3AB1353A}"/>
            </c:ext>
          </c:extLst>
        </c:ser>
        <c:ser>
          <c:idx val="1"/>
          <c:order val="1"/>
          <c:tx>
            <c:strRef>
              <c:f>DCF!$AA$79</c:f>
              <c:strCache>
                <c:ptCount val="1"/>
                <c:pt idx="0">
                  <c:v>Neg</c:v>
                </c:pt>
              </c:strCache>
            </c:strRef>
          </c:tx>
          <c:spPr>
            <a:solidFill>
              <a:schemeClr val="accent2"/>
            </a:solidFill>
            <a:ln>
              <a:noFill/>
            </a:ln>
            <a:effectLst/>
          </c:spPr>
          <c:invertIfNegative val="0"/>
          <c:cat>
            <c:strRef>
              <c:f>DCF!$X$80:$X$83</c:f>
              <c:strCache>
                <c:ptCount val="4"/>
                <c:pt idx="0">
                  <c:v>Growth Rate +/-2%</c:v>
                </c:pt>
                <c:pt idx="1">
                  <c:v>Revenue Growth +/-2%</c:v>
                </c:pt>
                <c:pt idx="2">
                  <c:v>Discount Rate +/-2%</c:v>
                </c:pt>
                <c:pt idx="3">
                  <c:v>Admin Expenses +/-2%</c:v>
                </c:pt>
              </c:strCache>
            </c:strRef>
          </c:cat>
          <c:val>
            <c:numRef>
              <c:f>DCF!$AA$80:$AA$83</c:f>
              <c:numCache>
                <c:formatCode>0%</c:formatCode>
                <c:ptCount val="4"/>
                <c:pt idx="0">
                  <c:v>-0.16615193187474953</c:v>
                </c:pt>
                <c:pt idx="1">
                  <c:v>-0.16718745855726225</c:v>
                </c:pt>
                <c:pt idx="2">
                  <c:v>-0.3779626015007933</c:v>
                </c:pt>
                <c:pt idx="3">
                  <c:v>-1.0059159445125097</c:v>
                </c:pt>
              </c:numCache>
            </c:numRef>
          </c:val>
          <c:extLst>
            <c:ext xmlns:c16="http://schemas.microsoft.com/office/drawing/2014/chart" uri="{C3380CC4-5D6E-409C-BE32-E72D297353CC}">
              <c16:uniqueId val="{0000000D-96CC-2F49-8DBB-B6EE3AB1353A}"/>
            </c:ext>
          </c:extLst>
        </c:ser>
        <c:dLbls>
          <c:showLegendKey val="0"/>
          <c:showVal val="0"/>
          <c:showCatName val="0"/>
          <c:showSerName val="0"/>
          <c:showPercent val="0"/>
          <c:showBubbleSize val="0"/>
        </c:dLbls>
        <c:gapWidth val="150"/>
        <c:overlap val="100"/>
        <c:axId val="503567664"/>
        <c:axId val="503920208"/>
      </c:barChart>
      <c:catAx>
        <c:axId val="503567664"/>
        <c:scaling>
          <c:orientation val="minMax"/>
        </c:scaling>
        <c:delete val="0"/>
        <c:axPos val="l"/>
        <c:numFmt formatCode="General" sourceLinked="1"/>
        <c:majorTickMark val="none"/>
        <c:minorTickMark val="none"/>
        <c:tickLblPos val="low"/>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1" i="0" u="none" strike="noStrike" kern="1200" baseline="0">
                <a:solidFill>
                  <a:schemeClr val="tx1">
                    <a:lumMod val="65000"/>
                    <a:lumOff val="35000"/>
                  </a:schemeClr>
                </a:solidFill>
                <a:latin typeface="Arial" panose="020B0604020202020204" pitchFamily="34" charset="0"/>
                <a:ea typeface="+mn-ea"/>
                <a:cs typeface="Arial" panose="020B0604020202020204" pitchFamily="34" charset="0"/>
              </a:defRPr>
            </a:pPr>
            <a:endParaRPr lang="en-US"/>
          </a:p>
        </c:txPr>
        <c:crossAx val="503920208"/>
        <c:crosses val="autoZero"/>
        <c:auto val="1"/>
        <c:lblAlgn val="ctr"/>
        <c:lblOffset val="100"/>
        <c:noMultiLvlLbl val="0"/>
      </c:catAx>
      <c:valAx>
        <c:axId val="503920208"/>
        <c:scaling>
          <c:orientation val="minMax"/>
        </c:scaling>
        <c:delete val="0"/>
        <c:axPos val="b"/>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503567664"/>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16</xdr:col>
      <xdr:colOff>787400</xdr:colOff>
      <xdr:row>87</xdr:row>
      <xdr:rowOff>101600</xdr:rowOff>
    </xdr:from>
    <xdr:to>
      <xdr:col>26</xdr:col>
      <xdr:colOff>76200</xdr:colOff>
      <xdr:row>105</xdr:row>
      <xdr:rowOff>0</xdr:rowOff>
    </xdr:to>
    <xdr:graphicFrame macro="">
      <xdr:nvGraphicFramePr>
        <xdr:cNvPr id="2" name="Chart 1">
          <a:extLst>
            <a:ext uri="{FF2B5EF4-FFF2-40B4-BE49-F238E27FC236}">
              <a16:creationId xmlns:a16="http://schemas.microsoft.com/office/drawing/2014/main" id="{24A611EB-48FA-E090-5467-F013C9C3534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B1:N140"/>
  <sheetViews>
    <sheetView showGridLines="0" tabSelected="1" topLeftCell="A67" zoomScaleNormal="112" workbookViewId="0">
      <selection activeCell="B81" sqref="B81:M81"/>
    </sheetView>
  </sheetViews>
  <sheetFormatPr baseColWidth="10" defaultColWidth="8.83203125" defaultRowHeight="16"/>
  <cols>
    <col min="1" max="1" width="4.6640625" style="6" customWidth="1"/>
    <col min="2" max="2" width="56" style="6" customWidth="1"/>
    <col min="3" max="3" width="9.33203125" style="6" customWidth="1"/>
    <col min="4" max="13" width="14" style="6" customWidth="1"/>
    <col min="14" max="16384" width="8.83203125" style="6"/>
  </cols>
  <sheetData>
    <row r="1" spans="2:13" ht="25">
      <c r="B1" s="198" t="s">
        <v>0</v>
      </c>
      <c r="C1" s="198"/>
      <c r="D1" s="198"/>
      <c r="E1" s="198"/>
      <c r="F1" s="198"/>
      <c r="G1" s="198"/>
      <c r="H1" s="198"/>
      <c r="I1" s="198"/>
      <c r="J1" s="198"/>
      <c r="K1" s="198"/>
      <c r="L1" s="198"/>
      <c r="M1" s="198"/>
    </row>
    <row r="2" spans="2:13" ht="16" customHeight="1">
      <c r="B2" s="197" t="s">
        <v>1</v>
      </c>
      <c r="C2" s="197"/>
      <c r="D2" s="197"/>
      <c r="E2" s="197"/>
      <c r="F2" s="197"/>
      <c r="G2" s="197"/>
      <c r="H2" s="197"/>
    </row>
    <row r="3" spans="2:13">
      <c r="D3" s="41"/>
      <c r="E3" s="41"/>
      <c r="F3" s="41"/>
      <c r="G3" s="41"/>
      <c r="H3" s="172" t="s">
        <v>329</v>
      </c>
      <c r="I3" s="173">
        <v>1</v>
      </c>
      <c r="K3" s="21" t="s">
        <v>334</v>
      </c>
      <c r="L3" s="179">
        <f>DCF!N61</f>
        <v>3.3806943181615399</v>
      </c>
    </row>
    <row r="4" spans="2:13">
      <c r="D4" s="180"/>
      <c r="E4" s="180"/>
      <c r="F4" s="180"/>
      <c r="G4" s="180"/>
      <c r="H4" s="181"/>
      <c r="I4" s="68"/>
      <c r="K4" s="21"/>
      <c r="L4" s="182"/>
    </row>
    <row r="5" spans="2:13">
      <c r="B5" s="5"/>
      <c r="C5" s="5"/>
      <c r="D5" s="5" t="s">
        <v>2</v>
      </c>
      <c r="E5" s="5" t="s">
        <v>3</v>
      </c>
      <c r="F5" s="5" t="s">
        <v>4</v>
      </c>
      <c r="G5" s="5" t="s">
        <v>5</v>
      </c>
      <c r="H5" s="5" t="s">
        <v>6</v>
      </c>
      <c r="I5" s="142" t="s">
        <v>183</v>
      </c>
      <c r="J5" s="142" t="s">
        <v>184</v>
      </c>
      <c r="K5" s="142" t="s">
        <v>185</v>
      </c>
      <c r="L5" s="142" t="s">
        <v>186</v>
      </c>
      <c r="M5" s="142" t="s">
        <v>187</v>
      </c>
    </row>
    <row r="6" spans="2:13" ht="25">
      <c r="B6" s="198" t="s">
        <v>7</v>
      </c>
      <c r="C6" s="198"/>
      <c r="D6" s="198"/>
      <c r="E6" s="198"/>
      <c r="F6" s="198"/>
      <c r="G6" s="198"/>
      <c r="H6" s="198"/>
      <c r="I6" s="198"/>
      <c r="J6" s="198"/>
      <c r="K6" s="198"/>
      <c r="L6" s="198"/>
      <c r="M6" s="198"/>
    </row>
    <row r="7" spans="2:13">
      <c r="B7" s="6" t="s">
        <v>8</v>
      </c>
      <c r="D7" s="37">
        <v>29895</v>
      </c>
      <c r="E7" s="37">
        <v>31491</v>
      </c>
      <c r="F7" s="37">
        <v>32238</v>
      </c>
      <c r="G7" s="37">
        <v>32772</v>
      </c>
      <c r="H7" s="37">
        <v>33647</v>
      </c>
      <c r="I7" s="44">
        <f>H7*(1+Assumptions!F45+DCF!$W75)</f>
        <v>29609.360000000001</v>
      </c>
      <c r="J7" s="44">
        <f>I7*(1+Assumptions!G45+DCF!$W75)</f>
        <v>29964.672320000001</v>
      </c>
      <c r="K7" s="44">
        <f>J7*(1+Assumptions!H45+DCF!$W75)</f>
        <v>30324.248387840002</v>
      </c>
      <c r="L7" s="44">
        <f>K7*(1+Assumptions!I45+DCF!$W75)</f>
        <v>30688.139368494081</v>
      </c>
      <c r="M7" s="44">
        <f>L7*(1+Assumptions!J45+DCF!$W75)</f>
        <v>31117.773319652999</v>
      </c>
    </row>
    <row r="8" spans="2:13">
      <c r="B8" s="19" t="s">
        <v>9</v>
      </c>
      <c r="C8" s="19"/>
      <c r="D8" s="20"/>
      <c r="E8" s="20">
        <f>E7/D7-1</f>
        <v>5.3386853988961258E-2</v>
      </c>
      <c r="F8" s="20">
        <f>F7/E7-1</f>
        <v>2.3721063160903055E-2</v>
      </c>
      <c r="G8" s="20">
        <f>G7/F7-1</f>
        <v>1.656430299646372E-2</v>
      </c>
      <c r="H8" s="20">
        <f>H7/G7-1</f>
        <v>2.669962162821915E-2</v>
      </c>
      <c r="I8" s="20">
        <f t="shared" ref="I8:M8" si="0">I7/H7-1</f>
        <v>-0.12</v>
      </c>
      <c r="J8" s="20">
        <f t="shared" si="0"/>
        <v>1.2000000000000011E-2</v>
      </c>
      <c r="K8" s="20">
        <f t="shared" si="0"/>
        <v>1.2000000000000011E-2</v>
      </c>
      <c r="L8" s="20">
        <f t="shared" si="0"/>
        <v>1.2000000000000011E-2</v>
      </c>
      <c r="M8" s="20">
        <f t="shared" si="0"/>
        <v>1.4000000000000012E-2</v>
      </c>
    </row>
    <row r="9" spans="2:13">
      <c r="B9" s="6" t="s">
        <v>10</v>
      </c>
      <c r="D9" s="7">
        <v>-27514</v>
      </c>
      <c r="E9" s="7">
        <v>-29409</v>
      </c>
      <c r="F9" s="7">
        <v>-30148</v>
      </c>
      <c r="G9" s="7">
        <v>-30589</v>
      </c>
      <c r="H9" s="7">
        <v>-31441</v>
      </c>
      <c r="I9" s="42">
        <f>-I7*Assumptions!F46</f>
        <v>-27655.142240000001</v>
      </c>
      <c r="J9" s="42">
        <f>-J7*Assumptions!G46</f>
        <v>-27942.056938400001</v>
      </c>
      <c r="K9" s="42">
        <f>-K7*Assumptions!H46</f>
        <v>-28231.875249079043</v>
      </c>
      <c r="L9" s="42">
        <f>-L7*Assumptions!I46</f>
        <v>-28539.969612699497</v>
      </c>
      <c r="M9" s="42">
        <f>-M7*Assumptions!J46</f>
        <v>-28877.293640637985</v>
      </c>
    </row>
    <row r="10" spans="2:13">
      <c r="B10" s="6" t="s">
        <v>11</v>
      </c>
      <c r="D10" s="7">
        <v>-15</v>
      </c>
      <c r="E10" s="7">
        <v>-78</v>
      </c>
      <c r="F10" s="7">
        <v>0</v>
      </c>
      <c r="G10" s="7">
        <v>0</v>
      </c>
      <c r="H10" s="7">
        <v>0</v>
      </c>
      <c r="I10" s="7">
        <v>0</v>
      </c>
      <c r="J10" s="7">
        <v>0</v>
      </c>
      <c r="K10" s="7">
        <v>0</v>
      </c>
      <c r="L10" s="7">
        <v>0</v>
      </c>
      <c r="M10" s="7">
        <v>0</v>
      </c>
    </row>
    <row r="11" spans="2:13">
      <c r="B11" s="8" t="s">
        <v>12</v>
      </c>
      <c r="C11" s="9"/>
      <c r="D11" s="10">
        <f>D7+D9+D10</f>
        <v>2366</v>
      </c>
      <c r="E11" s="10">
        <f>E7+E9+E10</f>
        <v>2004</v>
      </c>
      <c r="F11" s="10">
        <f>F7+F9+F10</f>
        <v>2090</v>
      </c>
      <c r="G11" s="10">
        <f>G7+G9+G10</f>
        <v>2183</v>
      </c>
      <c r="H11" s="10">
        <f>H7+H9+H10</f>
        <v>2206</v>
      </c>
      <c r="I11" s="10">
        <f t="shared" ref="I11:M11" si="1">I7+I9+I10</f>
        <v>1954.2177599999995</v>
      </c>
      <c r="J11" s="10">
        <f t="shared" si="1"/>
        <v>2022.6153816000005</v>
      </c>
      <c r="K11" s="10">
        <f t="shared" si="1"/>
        <v>2092.3731387609587</v>
      </c>
      <c r="L11" s="10">
        <f t="shared" si="1"/>
        <v>2148.1697557945845</v>
      </c>
      <c r="M11" s="10">
        <f t="shared" si="1"/>
        <v>2240.479679015014</v>
      </c>
    </row>
    <row r="12" spans="2:13">
      <c r="B12" s="19" t="s">
        <v>13</v>
      </c>
      <c r="C12" s="19"/>
      <c r="D12" s="20">
        <f>D11/D7</f>
        <v>7.9143669509951498E-2</v>
      </c>
      <c r="E12" s="20">
        <f>E11/E7</f>
        <v>6.3637229684671809E-2</v>
      </c>
      <c r="F12" s="20">
        <f>F11/F7</f>
        <v>6.4830324461815247E-2</v>
      </c>
      <c r="G12" s="20">
        <f>G11/G7</f>
        <v>6.6611741730745758E-2</v>
      </c>
      <c r="H12" s="20">
        <f>H11/H7</f>
        <v>6.5563051683656795E-2</v>
      </c>
      <c r="I12" s="20">
        <f t="shared" ref="I12:M12" si="2">I11/I7</f>
        <v>6.5999999999999989E-2</v>
      </c>
      <c r="J12" s="20">
        <f t="shared" si="2"/>
        <v>6.7500000000000018E-2</v>
      </c>
      <c r="K12" s="20">
        <f t="shared" si="2"/>
        <v>6.899999999999995E-2</v>
      </c>
      <c r="L12" s="20">
        <f t="shared" si="2"/>
        <v>6.9999999999999965E-2</v>
      </c>
      <c r="M12" s="20">
        <f t="shared" si="2"/>
        <v>7.1999999999999939E-2</v>
      </c>
    </row>
    <row r="13" spans="2:13">
      <c r="B13" s="6" t="s">
        <v>14</v>
      </c>
      <c r="D13" s="7">
        <v>-1430</v>
      </c>
      <c r="E13" s="7">
        <v>-1515</v>
      </c>
      <c r="F13" s="7">
        <v>-1404</v>
      </c>
      <c r="G13" s="7">
        <v>-1401</v>
      </c>
      <c r="H13" s="7">
        <v>-1391</v>
      </c>
      <c r="I13" s="43">
        <f>H13*(1+Assumptions!F47+DCF!$Z75)</f>
        <v>-1365.962</v>
      </c>
      <c r="J13" s="43">
        <f>I13*(1+Assumptions!G47+DCF!$Z75)</f>
        <v>-1341.3746839999999</v>
      </c>
      <c r="K13" s="43">
        <f>J13*(1+Assumptions!H47+DCF!$Z75)</f>
        <v>-1317.2299396879998</v>
      </c>
      <c r="L13" s="43">
        <f>K13*(1+Assumptions!I47+DCF!$Z75)</f>
        <v>-1297.4714905926799</v>
      </c>
      <c r="M13" s="43">
        <f>L13*(1+Assumptions!J47+DCF!$Z75)</f>
        <v>-1278.0094182337896</v>
      </c>
    </row>
    <row r="14" spans="2:13">
      <c r="B14" s="6" t="s">
        <v>15</v>
      </c>
      <c r="D14" s="37">
        <v>220</v>
      </c>
      <c r="E14" s="37">
        <v>73</v>
      </c>
      <c r="F14" s="37">
        <v>58</v>
      </c>
      <c r="G14" s="37">
        <v>108</v>
      </c>
      <c r="H14" s="37">
        <v>82</v>
      </c>
      <c r="I14" s="29">
        <f>AVERAGE(F14:H14)</f>
        <v>82.666666666666671</v>
      </c>
      <c r="J14" s="29">
        <f t="shared" ref="J14:M14" si="3">AVERAGE(G14:I14)</f>
        <v>90.8888888888889</v>
      </c>
      <c r="K14" s="29">
        <f t="shared" si="3"/>
        <v>85.185185185185205</v>
      </c>
      <c r="L14" s="29">
        <f t="shared" si="3"/>
        <v>86.246913580246925</v>
      </c>
      <c r="M14" s="29">
        <f t="shared" si="3"/>
        <v>87.44032921810701</v>
      </c>
    </row>
    <row r="15" spans="2:13">
      <c r="B15" s="8" t="s">
        <v>16</v>
      </c>
      <c r="C15" s="9"/>
      <c r="D15" s="10">
        <f>D11+D13+D14</f>
        <v>1156</v>
      </c>
      <c r="E15" s="10">
        <f>E11+E13+E14</f>
        <v>562</v>
      </c>
      <c r="F15" s="10">
        <f>F11+F13+F14</f>
        <v>744</v>
      </c>
      <c r="G15" s="10">
        <f>G11+G13+G14</f>
        <v>890</v>
      </c>
      <c r="H15" s="10">
        <f>H11+H13+H14</f>
        <v>897</v>
      </c>
      <c r="I15" s="10">
        <f t="shared" ref="I15:M15" si="4">I11+I13+I14</f>
        <v>670.92242666666618</v>
      </c>
      <c r="J15" s="10">
        <f t="shared" si="4"/>
        <v>772.12958648888957</v>
      </c>
      <c r="K15" s="10">
        <f t="shared" si="4"/>
        <v>860.32838425814407</v>
      </c>
      <c r="L15" s="10">
        <f t="shared" si="4"/>
        <v>936.94517878215152</v>
      </c>
      <c r="M15" s="10">
        <f t="shared" si="4"/>
        <v>1049.9105899993315</v>
      </c>
    </row>
    <row r="16" spans="2:13">
      <c r="B16" s="19" t="s">
        <v>17</v>
      </c>
      <c r="C16" s="19"/>
      <c r="D16" s="20">
        <f>D15/D7</f>
        <v>3.8668673691252715E-2</v>
      </c>
      <c r="E16" s="20">
        <f>E15/E7</f>
        <v>1.784636880378521E-2</v>
      </c>
      <c r="F16" s="20">
        <f>F15/F7</f>
        <v>2.3078354736646194E-2</v>
      </c>
      <c r="G16" s="20">
        <f>G15/G7</f>
        <v>2.7157329427560113E-2</v>
      </c>
      <c r="H16" s="20">
        <f>H15/H7</f>
        <v>2.6659137515974679E-2</v>
      </c>
      <c r="I16" s="20">
        <f t="shared" ref="I16:M16" si="5">I15/I7</f>
        <v>2.2659133012894104E-2</v>
      </c>
      <c r="J16" s="20">
        <f t="shared" si="5"/>
        <v>2.5767997001373166E-2</v>
      </c>
      <c r="K16" s="20">
        <f t="shared" si="5"/>
        <v>2.8370971417155885E-2</v>
      </c>
      <c r="L16" s="20">
        <f t="shared" si="5"/>
        <v>3.0531182341542167E-2</v>
      </c>
      <c r="M16" s="20">
        <f t="shared" si="5"/>
        <v>3.3739900963165675E-2</v>
      </c>
    </row>
    <row r="17" spans="2:13">
      <c r="B17" s="6" t="s">
        <v>18</v>
      </c>
      <c r="D17" s="37">
        <v>20</v>
      </c>
      <c r="E17" s="37">
        <v>74</v>
      </c>
      <c r="F17" s="37">
        <v>81</v>
      </c>
      <c r="G17" s="37">
        <v>67</v>
      </c>
      <c r="H17" s="37">
        <v>64</v>
      </c>
      <c r="I17" s="29">
        <f>AVERAGE(F17:H17)</f>
        <v>70.666666666666671</v>
      </c>
      <c r="J17" s="29">
        <f t="shared" ref="J17:M17" si="6">AVERAGE(G17:I17)</f>
        <v>67.222222222222229</v>
      </c>
      <c r="K17" s="29">
        <f t="shared" si="6"/>
        <v>67.296296296296305</v>
      </c>
      <c r="L17" s="29">
        <f t="shared" si="6"/>
        <v>68.395061728395078</v>
      </c>
      <c r="M17" s="29">
        <f t="shared" si="6"/>
        <v>67.637860082304542</v>
      </c>
    </row>
    <row r="18" spans="2:13">
      <c r="B18" s="6" t="s">
        <v>19</v>
      </c>
      <c r="D18" s="7">
        <v>-322</v>
      </c>
      <c r="E18" s="7">
        <v>-309</v>
      </c>
      <c r="F18" s="7">
        <v>-336</v>
      </c>
      <c r="G18" s="7">
        <v>-350</v>
      </c>
      <c r="H18" s="7">
        <v>-342</v>
      </c>
      <c r="I18" s="49">
        <f>I90</f>
        <v>-260.9735</v>
      </c>
      <c r="J18" s="49">
        <f t="shared" ref="J18:M18" si="7">J90</f>
        <v>-256.74318000000005</v>
      </c>
      <c r="K18" s="49">
        <f t="shared" si="7"/>
        <v>-239.69470000000001</v>
      </c>
      <c r="L18" s="49">
        <f t="shared" si="7"/>
        <v>-235.03609519999998</v>
      </c>
      <c r="M18" s="49">
        <f t="shared" si="7"/>
        <v>-228.01613561600004</v>
      </c>
    </row>
    <row r="19" spans="2:13">
      <c r="B19" s="8" t="s">
        <v>20</v>
      </c>
      <c r="C19" s="9"/>
      <c r="D19" s="10">
        <f>D15+D17+D18</f>
        <v>854</v>
      </c>
      <c r="E19" s="10">
        <f>E15+E17+E18</f>
        <v>327</v>
      </c>
      <c r="F19" s="10">
        <f>F15+F17+F18</f>
        <v>489</v>
      </c>
      <c r="G19" s="10">
        <f>G15+G17+G18</f>
        <v>607</v>
      </c>
      <c r="H19" s="10">
        <f>H15+H17+H18</f>
        <v>619</v>
      </c>
      <c r="I19" s="10">
        <f t="shared" ref="I19:M19" si="8">I15+I17+I18</f>
        <v>480.61559333333281</v>
      </c>
      <c r="J19" s="10">
        <f t="shared" si="8"/>
        <v>582.60862871111169</v>
      </c>
      <c r="K19" s="10">
        <f t="shared" si="8"/>
        <v>687.92998055444036</v>
      </c>
      <c r="L19" s="10">
        <f t="shared" si="8"/>
        <v>770.30414531054657</v>
      </c>
      <c r="M19" s="10">
        <f t="shared" si="8"/>
        <v>889.53231446563598</v>
      </c>
    </row>
    <row r="20" spans="2:13">
      <c r="B20" s="6" t="s">
        <v>21</v>
      </c>
      <c r="D20" s="7">
        <v>-177</v>
      </c>
      <c r="E20" s="7">
        <v>-120</v>
      </c>
      <c r="F20" s="7">
        <v>-181</v>
      </c>
      <c r="G20" s="7">
        <v>-186</v>
      </c>
      <c r="H20" s="7">
        <v>-205</v>
      </c>
      <c r="I20" s="36">
        <f>-I19*I22+I91</f>
        <v>-204.35514558241942</v>
      </c>
      <c r="J20" s="36">
        <f t="shared" ref="J20:M20" si="9">-J19*J22+J91</f>
        <v>-236.43476118755575</v>
      </c>
      <c r="K20" s="36">
        <f t="shared" si="9"/>
        <v>-270.13759377742093</v>
      </c>
      <c r="L20" s="36">
        <f t="shared" si="9"/>
        <v>-296.49732649937494</v>
      </c>
      <c r="M20" s="36">
        <f t="shared" si="9"/>
        <v>-334.65034062900349</v>
      </c>
    </row>
    <row r="21" spans="2:13">
      <c r="B21" s="8" t="s">
        <v>22</v>
      </c>
      <c r="C21" s="9"/>
      <c r="D21" s="10">
        <f>D19+D20</f>
        <v>677</v>
      </c>
      <c r="E21" s="10">
        <f>E19+E20</f>
        <v>207</v>
      </c>
      <c r="F21" s="10">
        <f>F19+F20</f>
        <v>308</v>
      </c>
      <c r="G21" s="10">
        <f>G19+G20</f>
        <v>421</v>
      </c>
      <c r="H21" s="10">
        <f>H19+H20</f>
        <v>414</v>
      </c>
      <c r="I21" s="10">
        <f t="shared" ref="I21:M21" si="10">I19+I20</f>
        <v>276.26044775091339</v>
      </c>
      <c r="J21" s="10">
        <f t="shared" si="10"/>
        <v>346.17386752355594</v>
      </c>
      <c r="K21" s="10">
        <f t="shared" si="10"/>
        <v>417.79238677701943</v>
      </c>
      <c r="L21" s="10">
        <f t="shared" si="10"/>
        <v>473.80681881117164</v>
      </c>
      <c r="M21" s="10">
        <f t="shared" si="10"/>
        <v>554.88197383663248</v>
      </c>
    </row>
    <row r="22" spans="2:13">
      <c r="B22" s="11" t="s">
        <v>23</v>
      </c>
      <c r="C22" s="11"/>
      <c r="D22" s="12">
        <f>IFERROR(-D20/D19,"")</f>
        <v>0.20725995316159251</v>
      </c>
      <c r="E22" s="12">
        <f>IFERROR(-E20/E19,"")</f>
        <v>0.3669724770642202</v>
      </c>
      <c r="F22" s="12">
        <f>IFERROR(-F20/F19,"")</f>
        <v>0.37014314928425357</v>
      </c>
      <c r="G22" s="12">
        <f>IFERROR(-G20/G19,"")</f>
        <v>0.30642504118616143</v>
      </c>
      <c r="H22" s="12">
        <f>IFERROR(-H20/H19,"")</f>
        <v>0.33117932148626816</v>
      </c>
      <c r="I22" s="20">
        <f>Assumptions!F55</f>
        <v>0.32</v>
      </c>
      <c r="J22" s="20">
        <f>Assumptions!G55</f>
        <v>0.32</v>
      </c>
      <c r="K22" s="20">
        <f>Assumptions!H55</f>
        <v>0.32</v>
      </c>
      <c r="L22" s="20">
        <f>Assumptions!I55</f>
        <v>0.32</v>
      </c>
      <c r="M22" s="20">
        <f>Assumptions!J55</f>
        <v>0.32</v>
      </c>
    </row>
    <row r="23" spans="2:13">
      <c r="B23" s="6" t="s">
        <v>24</v>
      </c>
      <c r="D23" s="7">
        <v>0</v>
      </c>
      <c r="E23" s="7">
        <v>0</v>
      </c>
      <c r="F23" s="7">
        <v>-171</v>
      </c>
      <c r="G23" s="7">
        <v>-168</v>
      </c>
      <c r="H23" s="7">
        <v>-21</v>
      </c>
      <c r="I23" s="36">
        <v>-700</v>
      </c>
      <c r="J23" s="34">
        <v>0</v>
      </c>
      <c r="K23" s="34">
        <v>0</v>
      </c>
      <c r="L23" s="34">
        <v>0</v>
      </c>
      <c r="M23" s="34">
        <v>0</v>
      </c>
    </row>
    <row r="24" spans="2:13">
      <c r="B24" s="8" t="s">
        <v>25</v>
      </c>
      <c r="C24" s="9"/>
      <c r="D24" s="10">
        <f>D21+D23</f>
        <v>677</v>
      </c>
      <c r="E24" s="10">
        <f>E21+E23</f>
        <v>207</v>
      </c>
      <c r="F24" s="10">
        <f>F21+F23</f>
        <v>137</v>
      </c>
      <c r="G24" s="10">
        <f>G21+G23</f>
        <v>253</v>
      </c>
      <c r="H24" s="10">
        <f>H21+H23</f>
        <v>393</v>
      </c>
      <c r="I24" s="10">
        <f t="shared" ref="I24:M24" si="11">I21+I23</f>
        <v>-423.73955224908661</v>
      </c>
      <c r="J24" s="10">
        <f t="shared" si="11"/>
        <v>346.17386752355594</v>
      </c>
      <c r="K24" s="10">
        <f t="shared" si="11"/>
        <v>417.79238677701943</v>
      </c>
      <c r="L24" s="10">
        <f t="shared" si="11"/>
        <v>473.80681881117164</v>
      </c>
      <c r="M24" s="10">
        <f t="shared" si="11"/>
        <v>554.88197383663248</v>
      </c>
    </row>
    <row r="25" spans="2:13">
      <c r="B25" s="19" t="s">
        <v>26</v>
      </c>
      <c r="C25" s="19"/>
      <c r="D25" s="20">
        <f>D24/D7</f>
        <v>2.2645927412610803E-2</v>
      </c>
      <c r="E25" s="20">
        <f>E24/E7</f>
        <v>6.5733066590454416E-3</v>
      </c>
      <c r="F25" s="20">
        <f>F24/F7</f>
        <v>4.2496432781189896E-3</v>
      </c>
      <c r="G25" s="20">
        <f>G24/G7</f>
        <v>7.7200048822165263E-3</v>
      </c>
      <c r="H25" s="20">
        <f>H24/H7</f>
        <v>1.1680090349808304E-2</v>
      </c>
      <c r="I25" s="20">
        <f t="shared" ref="I25:M25" si="12">I24/I7</f>
        <v>-1.4311000043536456E-2</v>
      </c>
      <c r="J25" s="20">
        <f t="shared" si="12"/>
        <v>1.1552733292948486E-2</v>
      </c>
      <c r="K25" s="20">
        <f t="shared" si="12"/>
        <v>1.3777501800986231E-2</v>
      </c>
      <c r="L25" s="20">
        <f t="shared" si="12"/>
        <v>1.5439411725873629E-2</v>
      </c>
      <c r="M25" s="20">
        <f t="shared" si="12"/>
        <v>1.7831673498507897E-2</v>
      </c>
    </row>
    <row r="26" spans="2:13">
      <c r="B26" s="6" t="s">
        <v>27</v>
      </c>
      <c r="D26" s="39">
        <v>29.8</v>
      </c>
      <c r="E26" s="39">
        <v>9</v>
      </c>
      <c r="F26" s="39">
        <v>5.9</v>
      </c>
      <c r="G26" s="39">
        <v>10.9</v>
      </c>
      <c r="H26" s="39">
        <v>17.3</v>
      </c>
    </row>
    <row r="27" spans="2:13">
      <c r="B27" s="6" t="s">
        <v>28</v>
      </c>
      <c r="D27" s="13">
        <v>28.8</v>
      </c>
      <c r="E27" s="13">
        <v>8.8000000000000007</v>
      </c>
      <c r="F27" s="13">
        <v>5.7</v>
      </c>
      <c r="G27" s="13">
        <v>10.7</v>
      </c>
      <c r="H27" s="13">
        <v>16.899999999999999</v>
      </c>
    </row>
    <row r="30" spans="2:13" ht="25">
      <c r="B30" s="198" t="s">
        <v>29</v>
      </c>
      <c r="C30" s="198"/>
      <c r="D30" s="198"/>
      <c r="E30" s="198"/>
      <c r="F30" s="198"/>
      <c r="G30" s="198"/>
      <c r="H30" s="198"/>
      <c r="I30" s="198"/>
      <c r="J30" s="198"/>
      <c r="K30" s="198"/>
      <c r="L30" s="198"/>
      <c r="M30" s="198"/>
    </row>
    <row r="31" spans="2:13">
      <c r="B31" s="6" t="s">
        <v>30</v>
      </c>
      <c r="D31" s="37">
        <v>8402</v>
      </c>
      <c r="E31" s="37">
        <v>8201</v>
      </c>
      <c r="F31" s="37">
        <v>9282</v>
      </c>
      <c r="G31" s="37">
        <v>9358</v>
      </c>
      <c r="H31" s="37">
        <v>9386</v>
      </c>
      <c r="I31" s="36">
        <f>'Supporting Schedules'!H76</f>
        <v>9042.75</v>
      </c>
      <c r="J31" s="36">
        <f>'Supporting Schedules'!I76</f>
        <v>8851.5</v>
      </c>
      <c r="K31" s="36">
        <f>'Supporting Schedules'!J76</f>
        <v>8660.25</v>
      </c>
      <c r="L31" s="36">
        <f>'Supporting Schedules'!K76</f>
        <v>8469</v>
      </c>
      <c r="M31" s="36">
        <f>'Supporting Schedules'!L76</f>
        <v>8277.75</v>
      </c>
    </row>
    <row r="32" spans="2:13">
      <c r="B32" s="6" t="s">
        <v>31</v>
      </c>
      <c r="D32" s="37">
        <v>5560</v>
      </c>
      <c r="E32" s="37">
        <v>5345</v>
      </c>
      <c r="F32" s="37">
        <v>4296</v>
      </c>
      <c r="G32" s="37">
        <v>4455</v>
      </c>
      <c r="H32" s="37">
        <v>4486</v>
      </c>
      <c r="I32" s="36">
        <f>'Supporting Schedules'!H60</f>
        <v>4167.68</v>
      </c>
      <c r="J32" s="36">
        <f>'Supporting Schedules'!I60</f>
        <v>3887.5584000000003</v>
      </c>
      <c r="K32" s="36">
        <f>'Supporting Schedules'!J60</f>
        <v>3641.0513919999999</v>
      </c>
      <c r="L32" s="36">
        <f>'Supporting Schedules'!K60</f>
        <v>3424.1252249599997</v>
      </c>
      <c r="M32" s="36">
        <f>'Supporting Schedules'!L60</f>
        <v>3233.2301979648</v>
      </c>
    </row>
    <row r="33" spans="2:13">
      <c r="B33" s="6" t="s">
        <v>32</v>
      </c>
      <c r="D33" s="37">
        <v>1006</v>
      </c>
      <c r="E33" s="37">
        <v>1024</v>
      </c>
      <c r="F33" s="37">
        <v>806</v>
      </c>
      <c r="G33" s="37">
        <v>807</v>
      </c>
      <c r="H33" s="37">
        <v>838</v>
      </c>
      <c r="I33" s="36">
        <f>'Supporting Schedules'!H93</f>
        <v>848</v>
      </c>
      <c r="J33" s="36">
        <f>'Supporting Schedules'!I93</f>
        <v>839</v>
      </c>
      <c r="K33" s="36">
        <f>'Supporting Schedules'!J93</f>
        <v>807.2</v>
      </c>
      <c r="L33" s="36">
        <f>'Supporting Schedules'!K93</f>
        <v>748.04</v>
      </c>
      <c r="M33" s="36">
        <f>'Supporting Schedules'!L93</f>
        <v>656.048</v>
      </c>
    </row>
    <row r="34" spans="2:13">
      <c r="B34" s="6" t="s">
        <v>33</v>
      </c>
      <c r="D34" s="37">
        <v>3</v>
      </c>
      <c r="E34" s="37">
        <v>2</v>
      </c>
      <c r="F34" s="37">
        <v>2</v>
      </c>
      <c r="G34" s="37">
        <v>2</v>
      </c>
      <c r="H34" s="37">
        <v>2</v>
      </c>
      <c r="I34" s="36">
        <v>2</v>
      </c>
      <c r="J34" s="36">
        <v>2</v>
      </c>
      <c r="K34" s="36">
        <v>2</v>
      </c>
      <c r="L34" s="36">
        <v>2</v>
      </c>
      <c r="M34" s="36">
        <v>2</v>
      </c>
    </row>
    <row r="35" spans="2:13">
      <c r="B35" s="6" t="s">
        <v>34</v>
      </c>
      <c r="D35" s="37">
        <v>604</v>
      </c>
      <c r="E35" s="37">
        <v>515</v>
      </c>
      <c r="F35" s="37">
        <v>761</v>
      </c>
      <c r="G35" s="37">
        <v>769</v>
      </c>
      <c r="H35" s="37">
        <v>129</v>
      </c>
      <c r="I35" s="29">
        <f>H35</f>
        <v>129</v>
      </c>
      <c r="J35" s="29">
        <f t="shared" ref="J35:M35" si="13">I35</f>
        <v>129</v>
      </c>
      <c r="K35" s="29">
        <f t="shared" si="13"/>
        <v>129</v>
      </c>
      <c r="L35" s="29">
        <f t="shared" si="13"/>
        <v>129</v>
      </c>
      <c r="M35" s="29">
        <f t="shared" si="13"/>
        <v>129</v>
      </c>
    </row>
    <row r="36" spans="2:13">
      <c r="B36" s="6" t="s">
        <v>35</v>
      </c>
      <c r="D36" s="37">
        <v>65</v>
      </c>
      <c r="E36" s="37">
        <v>56</v>
      </c>
      <c r="F36" s="37">
        <v>108</v>
      </c>
      <c r="G36" s="37">
        <v>42</v>
      </c>
      <c r="H36" s="37">
        <v>22</v>
      </c>
      <c r="I36" s="29">
        <f>H36</f>
        <v>22</v>
      </c>
      <c r="J36" s="29">
        <f t="shared" ref="J36:M36" si="14">I36</f>
        <v>22</v>
      </c>
      <c r="K36" s="29">
        <f t="shared" si="14"/>
        <v>22</v>
      </c>
      <c r="L36" s="29">
        <f t="shared" si="14"/>
        <v>22</v>
      </c>
      <c r="M36" s="29">
        <f t="shared" si="14"/>
        <v>22</v>
      </c>
    </row>
    <row r="37" spans="2:13">
      <c r="B37" s="6" t="s">
        <v>36</v>
      </c>
      <c r="D37" s="37">
        <v>2026</v>
      </c>
      <c r="E37" s="37">
        <v>1908</v>
      </c>
      <c r="F37" s="37">
        <v>1467</v>
      </c>
      <c r="G37" s="37">
        <v>0</v>
      </c>
      <c r="H37" s="37">
        <v>0</v>
      </c>
      <c r="I37" s="37">
        <v>0</v>
      </c>
      <c r="J37" s="37">
        <v>0</v>
      </c>
      <c r="K37" s="37">
        <v>0</v>
      </c>
      <c r="L37" s="37">
        <v>0</v>
      </c>
      <c r="M37" s="37">
        <v>0</v>
      </c>
    </row>
    <row r="38" spans="2:13">
      <c r="B38" s="6" t="s">
        <v>37</v>
      </c>
      <c r="D38" s="37">
        <v>213</v>
      </c>
      <c r="E38" s="37">
        <v>217</v>
      </c>
      <c r="F38" s="37">
        <v>68</v>
      </c>
      <c r="G38" s="37">
        <v>35</v>
      </c>
      <c r="H38" s="37">
        <v>18</v>
      </c>
      <c r="I38" s="29">
        <f>H38</f>
        <v>18</v>
      </c>
      <c r="J38" s="29">
        <f t="shared" ref="J38:M38" si="15">I38</f>
        <v>18</v>
      </c>
      <c r="K38" s="29">
        <f t="shared" si="15"/>
        <v>18</v>
      </c>
      <c r="L38" s="29">
        <f t="shared" si="15"/>
        <v>18</v>
      </c>
      <c r="M38" s="29">
        <f t="shared" si="15"/>
        <v>18</v>
      </c>
    </row>
    <row r="39" spans="2:13">
      <c r="B39" s="6" t="s">
        <v>38</v>
      </c>
      <c r="D39" s="37">
        <v>2283</v>
      </c>
      <c r="E39" s="37">
        <v>989</v>
      </c>
      <c r="F39" s="37">
        <v>690</v>
      </c>
      <c r="G39" s="37">
        <v>754</v>
      </c>
      <c r="H39" s="37">
        <v>548</v>
      </c>
      <c r="I39" s="29">
        <f>H39</f>
        <v>548</v>
      </c>
      <c r="J39" s="29">
        <f>I39</f>
        <v>548</v>
      </c>
      <c r="K39" s="29">
        <f>J39</f>
        <v>548</v>
      </c>
      <c r="L39" s="29">
        <f>K39</f>
        <v>548</v>
      </c>
      <c r="M39" s="29">
        <f>L39</f>
        <v>548</v>
      </c>
    </row>
    <row r="40" spans="2:13">
      <c r="B40" s="8" t="s">
        <v>39</v>
      </c>
      <c r="C40" s="9"/>
      <c r="D40" s="10">
        <f>SUM(D31:D39)</f>
        <v>20162</v>
      </c>
      <c r="E40" s="10">
        <f>SUM(E31:E39)</f>
        <v>18257</v>
      </c>
      <c r="F40" s="10">
        <f>SUM(F31:F39)</f>
        <v>17480</v>
      </c>
      <c r="G40" s="10">
        <f>SUM(G31:G39)</f>
        <v>16222</v>
      </c>
      <c r="H40" s="10">
        <f>SUM(H31:H39)</f>
        <v>15429</v>
      </c>
      <c r="I40" s="10">
        <f t="shared" ref="I40:M40" si="16">SUM(I31:I39)</f>
        <v>14777.43</v>
      </c>
      <c r="J40" s="10">
        <f t="shared" si="16"/>
        <v>14297.0584</v>
      </c>
      <c r="K40" s="10">
        <f t="shared" si="16"/>
        <v>13827.501392</v>
      </c>
      <c r="L40" s="10">
        <f t="shared" si="16"/>
        <v>13360.165224960001</v>
      </c>
      <c r="M40" s="10">
        <f t="shared" si="16"/>
        <v>12886.028197964801</v>
      </c>
    </row>
    <row r="41" spans="2:13">
      <c r="B41" s="6" t="s">
        <v>40</v>
      </c>
      <c r="D41" s="37">
        <v>1797</v>
      </c>
      <c r="E41" s="37">
        <v>1899</v>
      </c>
      <c r="F41" s="37">
        <v>1927</v>
      </c>
      <c r="G41" s="37">
        <v>1946</v>
      </c>
      <c r="H41" s="7">
        <v>1987</v>
      </c>
      <c r="I41" s="45">
        <f>'Supporting Schedules'!H64</f>
        <v>1515.3502597260276</v>
      </c>
      <c r="J41" s="45">
        <f>'Supporting Schedules'!I64</f>
        <v>1377.9644517567124</v>
      </c>
      <c r="K41" s="45">
        <f>'Supporting Schedules'!J64</f>
        <v>1237.5616547541499</v>
      </c>
      <c r="L41" s="45">
        <f>'Supporting Schedules'!K64</f>
        <v>1211.9713123201157</v>
      </c>
      <c r="M41" s="45">
        <f>'Supporting Schedules'!L64</f>
        <v>1186.738094820739</v>
      </c>
    </row>
    <row r="42" spans="2:13">
      <c r="B42" s="6" t="s">
        <v>41</v>
      </c>
      <c r="D42" s="7">
        <v>683</v>
      </c>
      <c r="E42" s="7">
        <v>627</v>
      </c>
      <c r="F42" s="7">
        <v>582</v>
      </c>
      <c r="G42" s="7">
        <v>572</v>
      </c>
      <c r="H42" s="7">
        <v>431</v>
      </c>
      <c r="I42" s="45">
        <f>'Supporting Schedules'!H65</f>
        <v>405.60767123287667</v>
      </c>
      <c r="J42" s="45">
        <f>'Supporting Schedules'!I65</f>
        <v>410.47496328767124</v>
      </c>
      <c r="K42" s="45">
        <f>'Supporting Schedules'!J65</f>
        <v>415.40066284712327</v>
      </c>
      <c r="L42" s="45">
        <f>'Supporting Schedules'!K65</f>
        <v>420.38547080128882</v>
      </c>
      <c r="M42" s="45">
        <f>'Supporting Schedules'!L65</f>
        <v>426.27086739250683</v>
      </c>
    </row>
    <row r="43" spans="2:13">
      <c r="B43" s="6" t="s">
        <v>42</v>
      </c>
      <c r="D43" s="7">
        <v>3163</v>
      </c>
      <c r="E43" s="7">
        <v>3484</v>
      </c>
      <c r="F43" s="7">
        <v>3050</v>
      </c>
      <c r="G43" s="7">
        <v>0</v>
      </c>
      <c r="H43" s="7">
        <v>0</v>
      </c>
      <c r="I43" s="34">
        <v>0</v>
      </c>
      <c r="J43" s="34">
        <v>0</v>
      </c>
      <c r="K43" s="34">
        <v>0</v>
      </c>
      <c r="L43" s="34">
        <v>0</v>
      </c>
      <c r="M43" s="34">
        <v>0</v>
      </c>
    </row>
    <row r="44" spans="2:13">
      <c r="B44" s="6" t="s">
        <v>43</v>
      </c>
      <c r="D44" s="7">
        <v>196</v>
      </c>
      <c r="E44" s="7">
        <v>494</v>
      </c>
      <c r="F44" s="7">
        <v>17</v>
      </c>
      <c r="G44" s="7">
        <v>1167</v>
      </c>
      <c r="H44" s="7">
        <v>0</v>
      </c>
      <c r="I44" s="34">
        <v>0</v>
      </c>
      <c r="J44" s="34">
        <v>0</v>
      </c>
      <c r="K44" s="34">
        <v>0</v>
      </c>
      <c r="L44" s="34">
        <v>0</v>
      </c>
      <c r="M44" s="34">
        <v>0</v>
      </c>
    </row>
    <row r="45" spans="2:13">
      <c r="B45" s="6" t="s">
        <v>44</v>
      </c>
      <c r="D45" s="7">
        <v>78</v>
      </c>
      <c r="E45" s="7">
        <v>70</v>
      </c>
      <c r="F45" s="7">
        <v>8</v>
      </c>
      <c r="G45" s="7">
        <v>15</v>
      </c>
      <c r="H45" s="7">
        <v>7</v>
      </c>
      <c r="I45" s="29">
        <f>H45</f>
        <v>7</v>
      </c>
      <c r="J45" s="29">
        <f t="shared" ref="J45:M45" si="17">I45</f>
        <v>7</v>
      </c>
      <c r="K45" s="29">
        <f t="shared" si="17"/>
        <v>7</v>
      </c>
      <c r="L45" s="29">
        <f t="shared" si="17"/>
        <v>7</v>
      </c>
      <c r="M45" s="29">
        <f t="shared" si="17"/>
        <v>7</v>
      </c>
    </row>
    <row r="46" spans="2:13">
      <c r="B46" s="6" t="s">
        <v>45</v>
      </c>
      <c r="D46" s="7">
        <v>0</v>
      </c>
      <c r="E46" s="7">
        <v>0</v>
      </c>
      <c r="F46" s="7">
        <v>0</v>
      </c>
      <c r="G46" s="7">
        <v>86</v>
      </c>
      <c r="H46" s="7">
        <v>19</v>
      </c>
      <c r="I46" s="34">
        <v>0</v>
      </c>
      <c r="J46" s="34">
        <v>0</v>
      </c>
      <c r="K46" s="34">
        <v>0</v>
      </c>
      <c r="L46" s="34">
        <v>0</v>
      </c>
      <c r="M46" s="34">
        <v>0</v>
      </c>
    </row>
    <row r="47" spans="2:13">
      <c r="B47" s="6" t="s">
        <v>46</v>
      </c>
      <c r="D47" s="7">
        <v>825</v>
      </c>
      <c r="E47" s="7">
        <v>1319</v>
      </c>
      <c r="F47" s="7">
        <v>1987</v>
      </c>
      <c r="G47" s="7">
        <v>2222</v>
      </c>
      <c r="H47" s="7">
        <v>1067</v>
      </c>
      <c r="I47" s="36">
        <f>I117</f>
        <v>652.87787078652991</v>
      </c>
      <c r="J47" s="36">
        <f t="shared" ref="J47:M47" si="18">J117</f>
        <v>-181.74846533043171</v>
      </c>
      <c r="K47" s="36">
        <f t="shared" si="18"/>
        <v>-768.23246283948492</v>
      </c>
      <c r="L47" s="36">
        <f t="shared" si="18"/>
        <v>-1275.5884798686166</v>
      </c>
      <c r="M47" s="36">
        <f t="shared" si="18"/>
        <v>-1777.8979375940553</v>
      </c>
    </row>
    <row r="48" spans="2:13">
      <c r="B48" s="8" t="s">
        <v>47</v>
      </c>
      <c r="C48" s="9"/>
      <c r="D48" s="10">
        <f>SUM(D41:D47)</f>
        <v>6742</v>
      </c>
      <c r="E48" s="10">
        <f>SUM(E41:E47)</f>
        <v>7893</v>
      </c>
      <c r="F48" s="10">
        <f>SUM(F41:F47)</f>
        <v>7571</v>
      </c>
      <c r="G48" s="10">
        <f>SUM(G41:G47)</f>
        <v>6008</v>
      </c>
      <c r="H48" s="10">
        <f>SUM(H41:H47)</f>
        <v>3511</v>
      </c>
      <c r="I48" s="10">
        <f t="shared" ref="I48:M48" si="19">SUM(I41:I47)</f>
        <v>2580.8358017454343</v>
      </c>
      <c r="J48" s="10">
        <f t="shared" si="19"/>
        <v>1613.6909497139518</v>
      </c>
      <c r="K48" s="10">
        <f t="shared" si="19"/>
        <v>891.72985476178837</v>
      </c>
      <c r="L48" s="10">
        <f t="shared" si="19"/>
        <v>363.76830325278797</v>
      </c>
      <c r="M48" s="10">
        <f t="shared" si="19"/>
        <v>-157.88897538080937</v>
      </c>
    </row>
    <row r="49" spans="2:13">
      <c r="B49" s="6" t="s">
        <v>48</v>
      </c>
      <c r="D49" s="7">
        <v>8</v>
      </c>
      <c r="E49" s="7">
        <v>8</v>
      </c>
      <c r="F49" s="7">
        <v>10</v>
      </c>
      <c r="G49" s="7">
        <v>2527</v>
      </c>
      <c r="H49" s="7">
        <v>3</v>
      </c>
      <c r="I49" s="34">
        <v>0</v>
      </c>
      <c r="J49" s="34">
        <v>0</v>
      </c>
      <c r="K49" s="34">
        <v>0</v>
      </c>
      <c r="L49" s="34">
        <v>0</v>
      </c>
      <c r="M49" s="34">
        <v>0</v>
      </c>
    </row>
    <row r="50" spans="2:13">
      <c r="B50" s="8" t="s">
        <v>49</v>
      </c>
      <c r="C50" s="9"/>
      <c r="D50" s="10">
        <f>D48+D49</f>
        <v>6750</v>
      </c>
      <c r="E50" s="10">
        <f>E48+E49</f>
        <v>7901</v>
      </c>
      <c r="F50" s="10">
        <f>F48+F49</f>
        <v>7581</v>
      </c>
      <c r="G50" s="10">
        <f>G48+G49</f>
        <v>8535</v>
      </c>
      <c r="H50" s="10">
        <f>H48+H49</f>
        <v>3514</v>
      </c>
      <c r="I50" s="10">
        <f t="shared" ref="I50:M50" si="20">I48+I49</f>
        <v>2580.8358017454343</v>
      </c>
      <c r="J50" s="10">
        <f t="shared" si="20"/>
        <v>1613.6909497139518</v>
      </c>
      <c r="K50" s="10">
        <f t="shared" si="20"/>
        <v>891.72985476178837</v>
      </c>
      <c r="L50" s="10">
        <f t="shared" si="20"/>
        <v>363.76830325278797</v>
      </c>
      <c r="M50" s="10">
        <f t="shared" si="20"/>
        <v>-157.88897538080937</v>
      </c>
    </row>
    <row r="51" spans="2:13">
      <c r="B51" s="8" t="s">
        <v>50</v>
      </c>
      <c r="C51" s="9"/>
      <c r="D51" s="10">
        <f>D40+D50</f>
        <v>26912</v>
      </c>
      <c r="E51" s="10">
        <f>E40+E50</f>
        <v>26158</v>
      </c>
      <c r="F51" s="10">
        <f>F40+F50</f>
        <v>25061</v>
      </c>
      <c r="G51" s="10">
        <f>G40+G50</f>
        <v>24757</v>
      </c>
      <c r="H51" s="10">
        <f>H40+H50</f>
        <v>18943</v>
      </c>
      <c r="I51" s="10">
        <f t="shared" ref="I51:M51" si="21">I40+I50</f>
        <v>17358.265801745434</v>
      </c>
      <c r="J51" s="10">
        <f t="shared" si="21"/>
        <v>15910.749349713951</v>
      </c>
      <c r="K51" s="10">
        <f t="shared" si="21"/>
        <v>14719.231246761788</v>
      </c>
      <c r="L51" s="10">
        <f t="shared" si="21"/>
        <v>13723.933528212789</v>
      </c>
      <c r="M51" s="10">
        <f t="shared" si="21"/>
        <v>12728.139222583992</v>
      </c>
    </row>
    <row r="52" spans="2:13">
      <c r="B52" s="6" t="s">
        <v>51</v>
      </c>
      <c r="D52" s="7">
        <v>4546</v>
      </c>
      <c r="E52" s="7">
        <v>4837</v>
      </c>
      <c r="F52" s="7">
        <v>5091</v>
      </c>
      <c r="G52" s="7">
        <v>5489</v>
      </c>
      <c r="H52" s="7">
        <v>5565</v>
      </c>
      <c r="I52" s="46">
        <f>-'Supporting Schedules'!H66</f>
        <v>4849.1208311232876</v>
      </c>
      <c r="J52" s="46">
        <f>-'Supporting Schedules'!I66</f>
        <v>4899.4291618016441</v>
      </c>
      <c r="K52" s="46">
        <f>-'Supporting Schedules'!J66</f>
        <v>4950.2466190165997</v>
      </c>
      <c r="L52" s="46">
        <f>-'Supporting Schedules'!K66</f>
        <v>5004.268644418542</v>
      </c>
      <c r="M52" s="46">
        <f>-'Supporting Schedules'!L66</f>
        <v>5063.4158712351536</v>
      </c>
    </row>
    <row r="53" spans="2:13">
      <c r="B53" s="6" t="s">
        <v>52</v>
      </c>
      <c r="D53" s="7">
        <v>4444</v>
      </c>
      <c r="E53" s="7">
        <v>4880</v>
      </c>
      <c r="F53" s="7">
        <v>5515</v>
      </c>
      <c r="G53" s="7">
        <v>1955</v>
      </c>
      <c r="H53" s="7">
        <v>0</v>
      </c>
      <c r="I53" s="35">
        <v>0</v>
      </c>
      <c r="J53" s="35">
        <v>0</v>
      </c>
      <c r="K53" s="35">
        <v>0</v>
      </c>
      <c r="L53" s="35">
        <v>0</v>
      </c>
      <c r="M53" s="35">
        <v>0</v>
      </c>
    </row>
    <row r="54" spans="2:13">
      <c r="B54" s="6" t="s">
        <v>53</v>
      </c>
      <c r="D54" s="7">
        <v>54</v>
      </c>
      <c r="E54" s="7">
        <v>53</v>
      </c>
      <c r="F54" s="7">
        <v>65</v>
      </c>
      <c r="G54" s="7">
        <v>72</v>
      </c>
      <c r="H54" s="7">
        <v>80</v>
      </c>
      <c r="I54" s="36">
        <f>-'Supporting Schedules'!H8</f>
        <v>77.2</v>
      </c>
      <c r="J54" s="36">
        <f>-'Supporting Schedules'!I8</f>
        <v>202.2</v>
      </c>
      <c r="K54" s="36">
        <f>-'Supporting Schedules'!J8</f>
        <v>77.2</v>
      </c>
      <c r="L54" s="36">
        <f>-'Supporting Schedules'!K8</f>
        <v>327.2</v>
      </c>
      <c r="M54" s="36">
        <f>-'Supporting Schedules'!L8</f>
        <v>77.2</v>
      </c>
    </row>
    <row r="55" spans="2:13">
      <c r="B55" s="6" t="s">
        <v>54</v>
      </c>
      <c r="D55" s="7">
        <v>526</v>
      </c>
      <c r="E55" s="7">
        <v>1533</v>
      </c>
      <c r="F55" s="7">
        <v>515</v>
      </c>
      <c r="G55" s="7">
        <v>483</v>
      </c>
      <c r="H55" s="7">
        <v>505</v>
      </c>
      <c r="I55" s="36">
        <f>'Supporting Schedules'!H50</f>
        <v>491.4</v>
      </c>
      <c r="J55" s="36">
        <f>'Supporting Schedules'!I50</f>
        <v>493.83199999999999</v>
      </c>
      <c r="K55" s="36">
        <f>'Supporting Schedules'!J50</f>
        <v>496.45856000000003</v>
      </c>
      <c r="L55" s="36">
        <f>'Supporting Schedules'!K50</f>
        <v>499.29524479999998</v>
      </c>
      <c r="M55" s="36">
        <f>'Supporting Schedules'!L50</f>
        <v>502.35886438399996</v>
      </c>
    </row>
    <row r="56" spans="2:13">
      <c r="B56" s="6" t="s">
        <v>55</v>
      </c>
      <c r="D56" s="7">
        <v>0</v>
      </c>
      <c r="E56" s="7">
        <v>0</v>
      </c>
      <c r="F56" s="7">
        <v>0</v>
      </c>
      <c r="G56" s="7">
        <v>0</v>
      </c>
      <c r="H56" s="7">
        <v>21</v>
      </c>
      <c r="I56" s="34">
        <v>0</v>
      </c>
      <c r="J56" s="34">
        <v>0</v>
      </c>
      <c r="K56" s="34">
        <v>0</v>
      </c>
      <c r="L56" s="34">
        <v>0</v>
      </c>
      <c r="M56" s="34">
        <v>0</v>
      </c>
    </row>
    <row r="57" spans="2:13">
      <c r="B57" s="6" t="s">
        <v>56</v>
      </c>
      <c r="D57" s="7">
        <v>29</v>
      </c>
      <c r="E57" s="7">
        <v>16</v>
      </c>
      <c r="F57" s="7">
        <v>28</v>
      </c>
      <c r="G57" s="7">
        <v>15</v>
      </c>
      <c r="H57" s="7">
        <v>20</v>
      </c>
      <c r="I57" s="29">
        <f>H57</f>
        <v>20</v>
      </c>
      <c r="J57" s="29">
        <f t="shared" ref="J57:M57" si="22">I57</f>
        <v>20</v>
      </c>
      <c r="K57" s="29">
        <f t="shared" si="22"/>
        <v>20</v>
      </c>
      <c r="L57" s="29">
        <f t="shared" si="22"/>
        <v>20</v>
      </c>
      <c r="M57" s="29">
        <f t="shared" si="22"/>
        <v>20</v>
      </c>
    </row>
    <row r="58" spans="2:13">
      <c r="B58" s="6" t="s">
        <v>57</v>
      </c>
      <c r="D58" s="7">
        <v>169</v>
      </c>
      <c r="E58" s="7">
        <v>155</v>
      </c>
      <c r="F58" s="7">
        <v>125</v>
      </c>
      <c r="G58" s="7">
        <v>4</v>
      </c>
      <c r="H58" s="7">
        <v>0</v>
      </c>
      <c r="I58" s="29">
        <f>H58</f>
        <v>0</v>
      </c>
      <c r="J58" s="29">
        <f t="shared" ref="J58:M58" si="23">I58</f>
        <v>0</v>
      </c>
      <c r="K58" s="29">
        <f t="shared" si="23"/>
        <v>0</v>
      </c>
      <c r="L58" s="29">
        <f t="shared" si="23"/>
        <v>0</v>
      </c>
      <c r="M58" s="29">
        <f t="shared" si="23"/>
        <v>0</v>
      </c>
    </row>
    <row r="59" spans="2:13">
      <c r="B59" s="6" t="s">
        <v>58</v>
      </c>
      <c r="D59" s="7">
        <v>100</v>
      </c>
      <c r="E59" s="7">
        <v>140</v>
      </c>
      <c r="F59" s="7">
        <v>113</v>
      </c>
      <c r="G59" s="7">
        <v>230</v>
      </c>
      <c r="H59" s="7">
        <v>140</v>
      </c>
      <c r="I59" s="47">
        <f>-'Supporting Schedules'!H67</f>
        <v>130</v>
      </c>
      <c r="J59" s="47">
        <f>-'Supporting Schedules'!I67</f>
        <v>120</v>
      </c>
      <c r="K59" s="47">
        <f>-'Supporting Schedules'!J67</f>
        <v>110</v>
      </c>
      <c r="L59" s="47">
        <f>-'Supporting Schedules'!K67</f>
        <v>110</v>
      </c>
      <c r="M59" s="47">
        <f>-'Supporting Schedules'!L67</f>
        <v>110</v>
      </c>
    </row>
    <row r="60" spans="2:13">
      <c r="B60" s="8" t="s">
        <v>59</v>
      </c>
      <c r="C60" s="9"/>
      <c r="D60" s="10">
        <f>SUM(D52:D59)</f>
        <v>9868</v>
      </c>
      <c r="E60" s="10">
        <f>SUM(E52:E59)</f>
        <v>11614</v>
      </c>
      <c r="F60" s="10">
        <f>SUM(F52:F59)</f>
        <v>11452</v>
      </c>
      <c r="G60" s="10">
        <f>SUM(G52:G59)</f>
        <v>8248</v>
      </c>
      <c r="H60" s="10">
        <f>SUM(H52:H59)</f>
        <v>6331</v>
      </c>
      <c r="I60" s="10">
        <f t="shared" ref="I60:M60" si="24">SUM(I52:I59)</f>
        <v>5567.7208311232871</v>
      </c>
      <c r="J60" s="10">
        <f t="shared" si="24"/>
        <v>5735.4611618016443</v>
      </c>
      <c r="K60" s="10">
        <f t="shared" si="24"/>
        <v>5653.9051790165995</v>
      </c>
      <c r="L60" s="10">
        <f t="shared" si="24"/>
        <v>5960.7638892185414</v>
      </c>
      <c r="M60" s="10">
        <f t="shared" si="24"/>
        <v>5772.9747356191538</v>
      </c>
    </row>
    <row r="61" spans="2:13">
      <c r="B61" s="6" t="s">
        <v>60</v>
      </c>
      <c r="D61" s="7">
        <v>0</v>
      </c>
      <c r="E61" s="7">
        <v>0</v>
      </c>
      <c r="F61" s="7">
        <v>0</v>
      </c>
      <c r="G61" s="7">
        <v>3136</v>
      </c>
      <c r="H61" s="7">
        <v>0</v>
      </c>
      <c r="I61" s="34">
        <v>0</v>
      </c>
      <c r="J61" s="34">
        <v>0</v>
      </c>
      <c r="K61" s="34">
        <v>0</v>
      </c>
      <c r="L61" s="34">
        <v>0</v>
      </c>
      <c r="M61" s="34">
        <v>0</v>
      </c>
    </row>
    <row r="62" spans="2:13">
      <c r="B62" s="8" t="s">
        <v>61</v>
      </c>
      <c r="C62" s="9"/>
      <c r="D62" s="10">
        <f>D60+D61</f>
        <v>9868</v>
      </c>
      <c r="E62" s="10">
        <f>E60+E61</f>
        <v>11614</v>
      </c>
      <c r="F62" s="10">
        <f>F60+F61</f>
        <v>11452</v>
      </c>
      <c r="G62" s="10">
        <f>G60+G61</f>
        <v>11384</v>
      </c>
      <c r="H62" s="10">
        <f>H60+H61</f>
        <v>6331</v>
      </c>
      <c r="I62" s="10">
        <f t="shared" ref="I62:M62" si="25">I60+I61</f>
        <v>5567.7208311232871</v>
      </c>
      <c r="J62" s="10">
        <f t="shared" si="25"/>
        <v>5735.4611618016443</v>
      </c>
      <c r="K62" s="10">
        <f t="shared" si="25"/>
        <v>5653.9051790165995</v>
      </c>
      <c r="L62" s="10">
        <f t="shared" si="25"/>
        <v>5960.7638892185414</v>
      </c>
      <c r="M62" s="10">
        <f t="shared" si="25"/>
        <v>5772.9747356191538</v>
      </c>
    </row>
    <row r="63" spans="2:13">
      <c r="B63" s="6" t="s">
        <v>62</v>
      </c>
      <c r="D63" s="7">
        <v>24</v>
      </c>
      <c r="E63" s="7">
        <v>0</v>
      </c>
      <c r="F63" s="7">
        <v>11</v>
      </c>
      <c r="G63" s="7">
        <v>24</v>
      </c>
      <c r="H63" s="7">
        <v>22</v>
      </c>
      <c r="I63" s="29">
        <f>H63</f>
        <v>22</v>
      </c>
      <c r="J63" s="29">
        <f t="shared" ref="J63:M63" si="26">I63</f>
        <v>22</v>
      </c>
      <c r="K63" s="29">
        <f t="shared" si="26"/>
        <v>22</v>
      </c>
      <c r="L63" s="29">
        <f t="shared" si="26"/>
        <v>22</v>
      </c>
      <c r="M63" s="29">
        <f t="shared" si="26"/>
        <v>22</v>
      </c>
    </row>
    <row r="64" spans="2:13">
      <c r="B64" s="6" t="s">
        <v>63</v>
      </c>
      <c r="D64" s="7">
        <v>815</v>
      </c>
      <c r="E64" s="7">
        <v>1066</v>
      </c>
      <c r="F64" s="7">
        <v>206</v>
      </c>
      <c r="G64" s="7">
        <v>13</v>
      </c>
      <c r="H64" s="7">
        <v>0</v>
      </c>
      <c r="I64" s="29">
        <f>H64</f>
        <v>0</v>
      </c>
      <c r="J64" s="29">
        <f t="shared" ref="J64:M64" si="27">I64</f>
        <v>0</v>
      </c>
      <c r="K64" s="29">
        <f t="shared" si="27"/>
        <v>0</v>
      </c>
      <c r="L64" s="29">
        <f t="shared" si="27"/>
        <v>0</v>
      </c>
      <c r="M64" s="29">
        <f t="shared" si="27"/>
        <v>0</v>
      </c>
    </row>
    <row r="65" spans="2:13">
      <c r="B65" s="6" t="s">
        <v>64</v>
      </c>
      <c r="D65" s="7">
        <v>707</v>
      </c>
      <c r="E65" s="7">
        <v>603</v>
      </c>
      <c r="F65" s="7">
        <v>1130</v>
      </c>
      <c r="G65" s="7">
        <v>1042</v>
      </c>
      <c r="H65" s="7">
        <v>981</v>
      </c>
      <c r="I65" s="49">
        <f>'Supporting Schedules'!H38</f>
        <v>978.8</v>
      </c>
      <c r="J65" s="49">
        <f>'Supporting Schedules'!I38</f>
        <v>781.6</v>
      </c>
      <c r="K65" s="49">
        <f>'Supporting Schedules'!J38</f>
        <v>704.40000000000009</v>
      </c>
      <c r="L65" s="49">
        <f>'Supporting Schedules'!K38</f>
        <v>627.20000000000005</v>
      </c>
      <c r="M65" s="49">
        <f>'Supporting Schedules'!L38</f>
        <v>550</v>
      </c>
    </row>
    <row r="66" spans="2:13">
      <c r="B66" s="6" t="s">
        <v>65</v>
      </c>
      <c r="D66" s="7">
        <v>6095</v>
      </c>
      <c r="E66" s="7">
        <v>4956</v>
      </c>
      <c r="F66" s="7">
        <v>4839</v>
      </c>
      <c r="G66" s="7">
        <v>5011</v>
      </c>
      <c r="H66" s="7">
        <v>5035</v>
      </c>
      <c r="I66" s="36">
        <f>'Supporting Schedules'!H51</f>
        <v>4687.8000000000011</v>
      </c>
      <c r="J66" s="36">
        <f>'Supporting Schedules'!I51</f>
        <v>4619.7039999999997</v>
      </c>
      <c r="K66" s="36">
        <f>'Supporting Schedules'!J51</f>
        <v>4546.16032</v>
      </c>
      <c r="L66" s="36">
        <f>'Supporting Schedules'!K51</f>
        <v>4466.7331456000011</v>
      </c>
      <c r="M66" s="36">
        <f>'Supporting Schedules'!L51</f>
        <v>4380.9517972479998</v>
      </c>
    </row>
    <row r="67" spans="2:13">
      <c r="B67" s="6" t="s">
        <v>66</v>
      </c>
      <c r="D67" s="7">
        <v>0</v>
      </c>
      <c r="E67" s="7">
        <v>0</v>
      </c>
      <c r="F67" s="7">
        <v>0</v>
      </c>
      <c r="G67" s="7">
        <v>0</v>
      </c>
      <c r="H67" s="7">
        <v>0</v>
      </c>
      <c r="I67" s="34">
        <v>0</v>
      </c>
      <c r="J67" s="34">
        <v>0</v>
      </c>
      <c r="K67" s="34">
        <v>0</v>
      </c>
      <c r="L67" s="34">
        <v>0</v>
      </c>
      <c r="M67" s="34">
        <v>0</v>
      </c>
    </row>
    <row r="68" spans="2:13">
      <c r="B68" s="6" t="s">
        <v>67</v>
      </c>
      <c r="D68" s="7">
        <v>3</v>
      </c>
      <c r="E68" s="7">
        <v>58</v>
      </c>
      <c r="F68" s="7">
        <v>59</v>
      </c>
      <c r="G68" s="7">
        <v>11</v>
      </c>
      <c r="H68" s="7">
        <v>3</v>
      </c>
      <c r="I68" s="29">
        <f>H68</f>
        <v>3</v>
      </c>
      <c r="J68" s="29">
        <f t="shared" ref="J68:M68" si="28">I68</f>
        <v>3</v>
      </c>
      <c r="K68" s="29">
        <f t="shared" si="28"/>
        <v>3</v>
      </c>
      <c r="L68" s="29">
        <f t="shared" si="28"/>
        <v>3</v>
      </c>
      <c r="M68" s="29">
        <f t="shared" si="28"/>
        <v>3</v>
      </c>
    </row>
    <row r="69" spans="2:13">
      <c r="B69" s="6" t="s">
        <v>68</v>
      </c>
      <c r="D69" s="7">
        <v>0</v>
      </c>
      <c r="E69" s="7">
        <v>0</v>
      </c>
      <c r="F69" s="7">
        <v>0</v>
      </c>
      <c r="G69" s="7">
        <v>23</v>
      </c>
      <c r="H69" s="7">
        <v>23</v>
      </c>
      <c r="I69" s="29">
        <f>H69</f>
        <v>23</v>
      </c>
      <c r="J69" s="29">
        <f t="shared" ref="J69:M69" si="29">I69</f>
        <v>23</v>
      </c>
      <c r="K69" s="29">
        <f t="shared" si="29"/>
        <v>23</v>
      </c>
      <c r="L69" s="29">
        <f t="shared" si="29"/>
        <v>23</v>
      </c>
      <c r="M69" s="29">
        <f t="shared" si="29"/>
        <v>23</v>
      </c>
    </row>
    <row r="70" spans="2:13">
      <c r="B70" s="6" t="s">
        <v>69</v>
      </c>
      <c r="D70" s="7">
        <v>806</v>
      </c>
      <c r="E70" s="7">
        <v>476</v>
      </c>
      <c r="F70" s="7">
        <v>329</v>
      </c>
      <c r="G70" s="7">
        <v>327</v>
      </c>
      <c r="H70" s="7">
        <v>302</v>
      </c>
      <c r="I70" s="29">
        <f>H70</f>
        <v>302</v>
      </c>
      <c r="J70" s="29">
        <f t="shared" ref="J70:M70" si="30">I70</f>
        <v>302</v>
      </c>
      <c r="K70" s="29">
        <f t="shared" si="30"/>
        <v>302</v>
      </c>
      <c r="L70" s="29">
        <f t="shared" si="30"/>
        <v>302</v>
      </c>
      <c r="M70" s="29">
        <f t="shared" si="30"/>
        <v>302</v>
      </c>
    </row>
    <row r="71" spans="2:13">
      <c r="B71" s="6" t="s">
        <v>70</v>
      </c>
      <c r="D71" s="7">
        <v>171</v>
      </c>
      <c r="E71" s="7">
        <v>132</v>
      </c>
      <c r="F71" s="7">
        <v>167</v>
      </c>
      <c r="G71" s="7">
        <v>157</v>
      </c>
      <c r="H71" s="7">
        <v>96</v>
      </c>
      <c r="I71" s="29">
        <f>H71</f>
        <v>96</v>
      </c>
      <c r="J71" s="29">
        <f t="shared" ref="J71:M71" si="31">I71</f>
        <v>96</v>
      </c>
      <c r="K71" s="29">
        <f t="shared" si="31"/>
        <v>96</v>
      </c>
      <c r="L71" s="29">
        <f t="shared" si="31"/>
        <v>96</v>
      </c>
      <c r="M71" s="29">
        <f t="shared" si="31"/>
        <v>96</v>
      </c>
    </row>
    <row r="72" spans="2:13">
      <c r="B72" s="8" t="s">
        <v>71</v>
      </c>
      <c r="C72" s="9"/>
      <c r="D72" s="10">
        <f>SUM(D63:D71)</f>
        <v>8621</v>
      </c>
      <c r="E72" s="10">
        <f>SUM(E63:E71)</f>
        <v>7291</v>
      </c>
      <c r="F72" s="10">
        <f>SUM(F63:F71)</f>
        <v>6741</v>
      </c>
      <c r="G72" s="10">
        <f>SUM(G63:G71)</f>
        <v>6608</v>
      </c>
      <c r="H72" s="10">
        <f>SUM(H63:H71)</f>
        <v>6462</v>
      </c>
      <c r="I72" s="10">
        <f t="shared" ref="I72:M72" si="32">SUM(I63:I71)</f>
        <v>6112.6000000000013</v>
      </c>
      <c r="J72" s="10">
        <f t="shared" si="32"/>
        <v>5847.3040000000001</v>
      </c>
      <c r="K72" s="10">
        <f t="shared" si="32"/>
        <v>5696.5603200000005</v>
      </c>
      <c r="L72" s="10">
        <f t="shared" si="32"/>
        <v>5539.9331456000009</v>
      </c>
      <c r="M72" s="10">
        <f t="shared" si="32"/>
        <v>5376.9517972479998</v>
      </c>
    </row>
    <row r="73" spans="2:13">
      <c r="B73" s="8" t="s">
        <v>72</v>
      </c>
      <c r="C73" s="9"/>
      <c r="D73" s="10">
        <f>D62+D72</f>
        <v>18489</v>
      </c>
      <c r="E73" s="10">
        <f>E62+E72</f>
        <v>18905</v>
      </c>
      <c r="F73" s="10">
        <f>F62+F72</f>
        <v>18193</v>
      </c>
      <c r="G73" s="10">
        <f>G62+G72</f>
        <v>17992</v>
      </c>
      <c r="H73" s="10">
        <f>H62+H72</f>
        <v>12793</v>
      </c>
      <c r="I73" s="10">
        <f t="shared" ref="I73:M73" si="33">I62+I72</f>
        <v>11680.320831123288</v>
      </c>
      <c r="J73" s="10">
        <f t="shared" si="33"/>
        <v>11582.765161801644</v>
      </c>
      <c r="K73" s="10">
        <f t="shared" si="33"/>
        <v>11350.4654990166</v>
      </c>
      <c r="L73" s="10">
        <f t="shared" si="33"/>
        <v>11500.697034818542</v>
      </c>
      <c r="M73" s="10">
        <f t="shared" si="33"/>
        <v>11149.926532867154</v>
      </c>
    </row>
    <row r="74" spans="2:13">
      <c r="B74" s="6" t="s">
        <v>73</v>
      </c>
      <c r="D74" s="7">
        <v>668</v>
      </c>
      <c r="E74" s="7">
        <v>672</v>
      </c>
      <c r="F74" s="7">
        <v>678</v>
      </c>
      <c r="G74" s="7">
        <v>669</v>
      </c>
      <c r="H74" s="7">
        <v>647</v>
      </c>
      <c r="I74" s="29">
        <f>H74</f>
        <v>647</v>
      </c>
      <c r="J74" s="29">
        <f t="shared" ref="J74:M74" si="34">I74</f>
        <v>647</v>
      </c>
      <c r="K74" s="29">
        <f t="shared" si="34"/>
        <v>647</v>
      </c>
      <c r="L74" s="29">
        <f t="shared" si="34"/>
        <v>647</v>
      </c>
      <c r="M74" s="29">
        <f t="shared" si="34"/>
        <v>647</v>
      </c>
    </row>
    <row r="75" spans="2:13">
      <c r="B75" s="6" t="s">
        <v>74</v>
      </c>
      <c r="D75" s="7">
        <v>1406</v>
      </c>
      <c r="E75" s="7">
        <v>1418</v>
      </c>
      <c r="F75" s="7">
        <v>1430</v>
      </c>
      <c r="G75" s="7">
        <v>1448</v>
      </c>
      <c r="H75" s="7">
        <v>1465</v>
      </c>
      <c r="I75" s="29">
        <f>H75</f>
        <v>1465</v>
      </c>
      <c r="J75" s="29">
        <f>I75-54.9961039870263</f>
        <v>1410.0038960129737</v>
      </c>
      <c r="K75" s="29">
        <f t="shared" ref="K75:M75" si="35">J75</f>
        <v>1410.0038960129737</v>
      </c>
      <c r="L75" s="29">
        <f t="shared" si="35"/>
        <v>1410.0038960129737</v>
      </c>
      <c r="M75" s="29">
        <f t="shared" si="35"/>
        <v>1410.0038960129737</v>
      </c>
    </row>
    <row r="76" spans="2:13">
      <c r="B76" s="6" t="s">
        <v>75</v>
      </c>
      <c r="D76" s="7">
        <v>568</v>
      </c>
      <c r="E76" s="7">
        <v>568</v>
      </c>
      <c r="F76" s="7">
        <v>568</v>
      </c>
      <c r="G76" s="7">
        <v>173</v>
      </c>
      <c r="H76" s="7">
        <v>173</v>
      </c>
      <c r="I76" s="29">
        <f>H76</f>
        <v>173</v>
      </c>
      <c r="J76" s="29">
        <f>I76</f>
        <v>173</v>
      </c>
      <c r="K76" s="29">
        <f t="shared" ref="K76:M76" si="36">J76</f>
        <v>173</v>
      </c>
      <c r="L76" s="29">
        <f t="shared" si="36"/>
        <v>173</v>
      </c>
      <c r="M76" s="29">
        <f t="shared" si="36"/>
        <v>173</v>
      </c>
    </row>
    <row r="77" spans="2:13">
      <c r="B77" s="6" t="s">
        <v>76</v>
      </c>
      <c r="D77" s="7">
        <v>1021</v>
      </c>
      <c r="E77" s="7">
        <v>954</v>
      </c>
      <c r="F77" s="7">
        <v>955</v>
      </c>
      <c r="G77" s="7">
        <v>-54</v>
      </c>
      <c r="H77" s="7">
        <v>-65</v>
      </c>
      <c r="I77" s="29">
        <f>H77-300</f>
        <v>-365</v>
      </c>
      <c r="J77" s="29">
        <f t="shared" ref="J77:M77" si="37">I77-300</f>
        <v>-665</v>
      </c>
      <c r="K77" s="29">
        <f t="shared" si="37"/>
        <v>-965</v>
      </c>
      <c r="L77" s="29">
        <f t="shared" si="37"/>
        <v>-1265</v>
      </c>
      <c r="M77" s="29">
        <f t="shared" si="37"/>
        <v>-1565</v>
      </c>
    </row>
    <row r="78" spans="2:13">
      <c r="B78" s="6" t="s">
        <v>77</v>
      </c>
      <c r="D78" s="7">
        <v>4760</v>
      </c>
      <c r="E78" s="7">
        <v>3641</v>
      </c>
      <c r="F78" s="7">
        <v>3237</v>
      </c>
      <c r="G78" s="7">
        <v>4529</v>
      </c>
      <c r="H78" s="7">
        <v>3930</v>
      </c>
      <c r="I78" s="29">
        <f>H78+I24+I107</f>
        <v>2906.2604477509135</v>
      </c>
      <c r="J78" s="29">
        <f>I78+J24+J107</f>
        <v>2652.4343152744696</v>
      </c>
      <c r="K78" s="29">
        <f>J78+K24+K107</f>
        <v>2470.2267020514892</v>
      </c>
      <c r="L78" s="29">
        <f>K78+L24+L107</f>
        <v>2264.0335208626607</v>
      </c>
      <c r="M78" s="29">
        <f>L78+M24+M107</f>
        <v>2088.915494699293</v>
      </c>
    </row>
    <row r="79" spans="2:13">
      <c r="B79" s="8" t="s">
        <v>78</v>
      </c>
      <c r="C79" s="9"/>
      <c r="D79" s="10">
        <f>SUM(D74:D78)</f>
        <v>8423</v>
      </c>
      <c r="E79" s="10">
        <f>SUM(E74:E78)</f>
        <v>7253</v>
      </c>
      <c r="F79" s="10">
        <f>SUM(F74:F78)</f>
        <v>6868</v>
      </c>
      <c r="G79" s="10">
        <f>SUM(G74:G78)</f>
        <v>6765</v>
      </c>
      <c r="H79" s="10">
        <f>SUM(H74:H78)</f>
        <v>6150</v>
      </c>
      <c r="I79" s="10">
        <f t="shared" ref="I79:M79" si="38">SUM(I74:I78)</f>
        <v>4826.260447750914</v>
      </c>
      <c r="J79" s="10">
        <f t="shared" si="38"/>
        <v>4217.4382112874428</v>
      </c>
      <c r="K79" s="10">
        <f t="shared" si="38"/>
        <v>3735.2305980644628</v>
      </c>
      <c r="L79" s="10">
        <f t="shared" si="38"/>
        <v>3229.0374168756343</v>
      </c>
      <c r="M79" s="10">
        <f t="shared" si="38"/>
        <v>2753.9193907122667</v>
      </c>
    </row>
    <row r="80" spans="2:13">
      <c r="B80" s="8" t="s">
        <v>79</v>
      </c>
      <c r="C80" s="9"/>
      <c r="D80" s="10">
        <f>D73+D79</f>
        <v>26912</v>
      </c>
      <c r="E80" s="10">
        <f>E73+E79</f>
        <v>26158</v>
      </c>
      <c r="F80" s="10">
        <f>F73+F79</f>
        <v>25061</v>
      </c>
      <c r="G80" s="10">
        <f>G73+G79</f>
        <v>24757</v>
      </c>
      <c r="H80" s="10">
        <f>H73+H79</f>
        <v>18943</v>
      </c>
      <c r="I80" s="10">
        <f t="shared" ref="I80:M80" si="39">I73+I79</f>
        <v>16506.581278874204</v>
      </c>
      <c r="J80" s="10">
        <f t="shared" si="39"/>
        <v>15800.203373089087</v>
      </c>
      <c r="K80" s="10">
        <f t="shared" si="39"/>
        <v>15085.696097081063</v>
      </c>
      <c r="L80" s="10">
        <f t="shared" si="39"/>
        <v>14729.734451694178</v>
      </c>
      <c r="M80" s="10">
        <f t="shared" si="39"/>
        <v>13903.84592357942</v>
      </c>
    </row>
    <row r="81" spans="2:14">
      <c r="B81" s="8"/>
      <c r="C81" s="9"/>
      <c r="D81" s="10"/>
      <c r="E81" s="10"/>
      <c r="F81" s="10"/>
      <c r="G81" s="10"/>
      <c r="H81" s="10"/>
      <c r="I81" s="10"/>
      <c r="J81" s="10"/>
      <c r="K81" s="10"/>
      <c r="L81" s="10"/>
      <c r="M81" s="10"/>
    </row>
    <row r="82" spans="2:14">
      <c r="D82" s="40"/>
      <c r="E82" s="40"/>
      <c r="F82" s="40"/>
      <c r="G82" s="40"/>
      <c r="H82" s="40"/>
    </row>
    <row r="84" spans="2:14" ht="25">
      <c r="B84" s="198" t="s">
        <v>80</v>
      </c>
      <c r="C84" s="198"/>
      <c r="D84" s="198"/>
      <c r="E84" s="198"/>
      <c r="F84" s="198"/>
      <c r="G84" s="198"/>
      <c r="H84" s="198"/>
      <c r="I84" s="198"/>
      <c r="J84" s="198"/>
      <c r="K84" s="198"/>
      <c r="L84" s="198"/>
      <c r="M84" s="198"/>
    </row>
    <row r="85" spans="2:14">
      <c r="B85" s="11" t="s">
        <v>81</v>
      </c>
      <c r="C85" s="11"/>
      <c r="D85" s="14">
        <f t="shared" ref="D85:I85" si="40">D15</f>
        <v>1156</v>
      </c>
      <c r="E85" s="14">
        <f t="shared" si="40"/>
        <v>562</v>
      </c>
      <c r="F85" s="14">
        <f t="shared" si="40"/>
        <v>744</v>
      </c>
      <c r="G85" s="14">
        <f t="shared" si="40"/>
        <v>890</v>
      </c>
      <c r="H85" s="14">
        <f t="shared" si="40"/>
        <v>897</v>
      </c>
      <c r="I85" s="29">
        <f t="shared" si="40"/>
        <v>670.92242666666618</v>
      </c>
      <c r="J85" s="29">
        <f t="shared" ref="J85:M85" si="41">J15</f>
        <v>772.12958648888957</v>
      </c>
      <c r="K85" s="29">
        <f t="shared" si="41"/>
        <v>860.32838425814407</v>
      </c>
      <c r="L85" s="29">
        <f t="shared" si="41"/>
        <v>936.94517878215152</v>
      </c>
      <c r="M85" s="29">
        <f t="shared" si="41"/>
        <v>1049.9105899993315</v>
      </c>
    </row>
    <row r="86" spans="2:14">
      <c r="B86" s="6" t="s">
        <v>82</v>
      </c>
      <c r="D86" s="7">
        <v>1220</v>
      </c>
      <c r="E86" s="7">
        <v>1208</v>
      </c>
      <c r="F86" s="7">
        <v>1160</v>
      </c>
      <c r="G86" s="7">
        <v>1215</v>
      </c>
      <c r="H86" s="7">
        <v>1238</v>
      </c>
      <c r="I86" s="36">
        <f>Assumptions!F52</f>
        <v>1200</v>
      </c>
      <c r="J86" s="36">
        <f>Assumptions!G52</f>
        <v>1200</v>
      </c>
      <c r="K86" s="36">
        <f>Assumptions!H52</f>
        <v>1200</v>
      </c>
      <c r="L86" s="36">
        <f>Assumptions!I52</f>
        <v>1200</v>
      </c>
      <c r="M86" s="36">
        <f>Assumptions!J52</f>
        <v>1200</v>
      </c>
    </row>
    <row r="87" spans="2:14">
      <c r="B87" s="6" t="s">
        <v>83</v>
      </c>
      <c r="D87" s="7">
        <v>9</v>
      </c>
      <c r="E87" s="7">
        <v>315</v>
      </c>
      <c r="F87" s="7">
        <v>45</v>
      </c>
      <c r="G87" s="7">
        <v>22</v>
      </c>
      <c r="H87" s="7">
        <v>23</v>
      </c>
      <c r="I87" s="34">
        <v>0</v>
      </c>
      <c r="J87" s="36">
        <v>54.996103987026302</v>
      </c>
      <c r="K87" s="36">
        <v>78.985432890868694</v>
      </c>
      <c r="L87" s="36">
        <v>58.007704070527602</v>
      </c>
      <c r="M87" s="34">
        <v>0</v>
      </c>
    </row>
    <row r="88" spans="2:14">
      <c r="B88" s="6" t="s">
        <v>84</v>
      </c>
      <c r="D88" s="7">
        <v>-1024</v>
      </c>
      <c r="E88" s="7">
        <v>519</v>
      </c>
      <c r="F88" s="7">
        <v>561</v>
      </c>
      <c r="G88" s="7">
        <v>-913</v>
      </c>
      <c r="H88" s="7">
        <v>29</v>
      </c>
      <c r="I88" s="49">
        <f>'Supporting Schedules'!H69</f>
        <v>228.83709983561675</v>
      </c>
      <c r="J88" s="49">
        <f>'Supporting Schedules'!I69</f>
        <v>-172.82684659287725</v>
      </c>
      <c r="K88" s="49">
        <f>'Supporting Schedules'!J69</f>
        <v>-176.29455465806586</v>
      </c>
      <c r="L88" s="49">
        <f>'Supporting Schedules'!K69</f>
        <v>-74.627559881811067</v>
      </c>
      <c r="M88" s="49">
        <f>'Supporting Schedules'!L69</f>
        <v>-78.495047724770302</v>
      </c>
    </row>
    <row r="89" spans="2:14">
      <c r="B89" s="8" t="s">
        <v>85</v>
      </c>
      <c r="C89" s="9"/>
      <c r="D89" s="10">
        <f t="shared" ref="D89:M89" si="42">SUM(D85:D88)</f>
        <v>1361</v>
      </c>
      <c r="E89" s="10">
        <f t="shared" si="42"/>
        <v>2604</v>
      </c>
      <c r="F89" s="10">
        <f t="shared" si="42"/>
        <v>2510</v>
      </c>
      <c r="G89" s="10">
        <f t="shared" si="42"/>
        <v>1214</v>
      </c>
      <c r="H89" s="10">
        <f t="shared" si="42"/>
        <v>2187</v>
      </c>
      <c r="I89" s="10">
        <f t="shared" si="42"/>
        <v>2099.7595265022828</v>
      </c>
      <c r="J89" s="10">
        <f t="shared" si="42"/>
        <v>1854.2988438830387</v>
      </c>
      <c r="K89" s="10">
        <f t="shared" si="42"/>
        <v>1963.0192624909469</v>
      </c>
      <c r="L89" s="10">
        <f t="shared" si="42"/>
        <v>2120.3253229708685</v>
      </c>
      <c r="M89" s="10">
        <f t="shared" si="42"/>
        <v>2171.4155422745612</v>
      </c>
    </row>
    <row r="90" spans="2:14">
      <c r="B90" s="6" t="s">
        <v>86</v>
      </c>
      <c r="D90" s="7">
        <v>-329</v>
      </c>
      <c r="E90" s="7">
        <v>-316</v>
      </c>
      <c r="F90" s="7">
        <v>-336</v>
      </c>
      <c r="G90" s="7">
        <v>-359</v>
      </c>
      <c r="H90" s="7">
        <v>-348</v>
      </c>
      <c r="I90" s="36">
        <f>-('Supporting Schedules'!H11+'Supporting Schedules'!H48)</f>
        <v>-260.9735</v>
      </c>
      <c r="J90" s="36">
        <f>-('Supporting Schedules'!I11+'Supporting Schedules'!I48)</f>
        <v>-256.74318000000005</v>
      </c>
      <c r="K90" s="36">
        <f>-('Supporting Schedules'!J11+'Supporting Schedules'!J48)</f>
        <v>-239.69470000000001</v>
      </c>
      <c r="L90" s="36">
        <f>-('Supporting Schedules'!K11+'Supporting Schedules'!K48)</f>
        <v>-235.03609519999998</v>
      </c>
      <c r="M90" s="36">
        <f>-('Supporting Schedules'!L11+'Supporting Schedules'!L48)</f>
        <v>-228.01613561600004</v>
      </c>
    </row>
    <row r="91" spans="2:14">
      <c r="B91" s="6" t="s">
        <v>87</v>
      </c>
      <c r="D91" s="7">
        <v>-23</v>
      </c>
      <c r="E91" s="7">
        <v>-103</v>
      </c>
      <c r="F91" s="7">
        <v>-61</v>
      </c>
      <c r="G91" s="7">
        <v>-53</v>
      </c>
      <c r="H91" s="7">
        <v>-65</v>
      </c>
      <c r="I91" s="36">
        <v>-50.558155715752903</v>
      </c>
      <c r="J91" s="36">
        <v>-50</v>
      </c>
      <c r="K91" s="36">
        <v>-50</v>
      </c>
      <c r="L91" s="36">
        <v>-50</v>
      </c>
      <c r="M91" s="36">
        <v>-50</v>
      </c>
    </row>
    <row r="92" spans="2:14">
      <c r="B92" s="8" t="s">
        <v>88</v>
      </c>
      <c r="C92" s="9"/>
      <c r="D92" s="10">
        <f>SUM(D89:D91)</f>
        <v>1009</v>
      </c>
      <c r="E92" s="10">
        <f>SUM(E89:E91)</f>
        <v>2185</v>
      </c>
      <c r="F92" s="10">
        <f>SUM(F89:F91)</f>
        <v>2113</v>
      </c>
      <c r="G92" s="10">
        <f>SUM(G89:G91)</f>
        <v>802</v>
      </c>
      <c r="H92" s="10">
        <f>SUM(H89:H91)</f>
        <v>1774</v>
      </c>
      <c r="I92" s="10">
        <f t="shared" ref="I92:M92" si="43">SUM(I89:I91)</f>
        <v>1788.2278707865298</v>
      </c>
      <c r="J92" s="10">
        <f t="shared" si="43"/>
        <v>1547.5556638830385</v>
      </c>
      <c r="K92" s="10">
        <f t="shared" si="43"/>
        <v>1673.3245624909468</v>
      </c>
      <c r="L92" s="10">
        <f t="shared" si="43"/>
        <v>1835.2892277708684</v>
      </c>
      <c r="M92" s="10">
        <f t="shared" si="43"/>
        <v>1893.399406658561</v>
      </c>
    </row>
    <row r="93" spans="2:14">
      <c r="B93" s="6" t="s">
        <v>89</v>
      </c>
      <c r="D93" s="7">
        <v>-416</v>
      </c>
      <c r="E93" s="7">
        <v>-525</v>
      </c>
      <c r="F93" s="7">
        <v>-1381</v>
      </c>
      <c r="G93" s="7">
        <v>-617</v>
      </c>
      <c r="H93" s="7">
        <v>-613</v>
      </c>
      <c r="I93" s="36">
        <f>-Assumptions!F53*75%</f>
        <v>-618.75</v>
      </c>
      <c r="J93" s="36">
        <f>-Assumptions!G53*75%</f>
        <v>-618.75</v>
      </c>
      <c r="K93" s="36">
        <f>-Assumptions!H53*75%</f>
        <v>-618.75</v>
      </c>
      <c r="L93" s="36">
        <f>-Assumptions!I53*75%</f>
        <v>-618.75</v>
      </c>
      <c r="M93" s="36">
        <f>-Assumptions!J53*75%</f>
        <v>-618.75</v>
      </c>
      <c r="N93" s="49"/>
    </row>
    <row r="94" spans="2:14">
      <c r="B94" s="6" t="s">
        <v>90</v>
      </c>
      <c r="D94" s="7">
        <v>-3</v>
      </c>
      <c r="E94" s="7">
        <v>-16</v>
      </c>
      <c r="F94" s="7">
        <v>-6</v>
      </c>
      <c r="G94" s="7">
        <v>-34</v>
      </c>
      <c r="H94" s="7">
        <v>-8</v>
      </c>
      <c r="I94" s="36">
        <v>-5</v>
      </c>
      <c r="J94" s="36">
        <v>-5</v>
      </c>
      <c r="K94" s="36">
        <v>-5</v>
      </c>
      <c r="L94" s="36">
        <v>-5</v>
      </c>
      <c r="M94" s="36">
        <v>-5</v>
      </c>
    </row>
    <row r="95" spans="2:14">
      <c r="B95" s="6" t="s">
        <v>91</v>
      </c>
      <c r="D95" s="7">
        <v>-278</v>
      </c>
      <c r="E95" s="7">
        <v>-213</v>
      </c>
      <c r="F95" s="7">
        <v>-178</v>
      </c>
      <c r="G95" s="7">
        <v>-208</v>
      </c>
      <c r="H95" s="7">
        <v>-230</v>
      </c>
      <c r="I95" s="36">
        <f>-'Supporting Schedules'!H81</f>
        <v>-205</v>
      </c>
      <c r="J95" s="36">
        <f>-'Supporting Schedules'!I81</f>
        <v>-205</v>
      </c>
      <c r="K95" s="36">
        <f>-'Supporting Schedules'!J81</f>
        <v>-205</v>
      </c>
      <c r="L95" s="36">
        <f>-'Supporting Schedules'!K81</f>
        <v>-205</v>
      </c>
      <c r="M95" s="36">
        <f>-'Supporting Schedules'!L81</f>
        <v>-205</v>
      </c>
    </row>
    <row r="96" spans="2:14">
      <c r="B96" s="6" t="s">
        <v>92</v>
      </c>
      <c r="D96" s="7">
        <v>46</v>
      </c>
      <c r="E96" s="7">
        <v>29</v>
      </c>
      <c r="F96" s="7">
        <v>77</v>
      </c>
      <c r="G96" s="7">
        <v>45</v>
      </c>
      <c r="H96" s="7">
        <v>41</v>
      </c>
      <c r="I96" s="36">
        <v>40</v>
      </c>
      <c r="J96" s="36">
        <v>40</v>
      </c>
      <c r="K96" s="36">
        <v>40</v>
      </c>
      <c r="L96" s="36">
        <v>40</v>
      </c>
      <c r="M96" s="36">
        <v>40</v>
      </c>
    </row>
    <row r="97" spans="2:13">
      <c r="B97" s="6" t="s">
        <v>93</v>
      </c>
      <c r="D97" s="7">
        <v>2</v>
      </c>
      <c r="E97" s="7">
        <v>1</v>
      </c>
      <c r="F97" s="7">
        <v>0</v>
      </c>
      <c r="G97" s="7">
        <v>0</v>
      </c>
      <c r="H97" s="7">
        <v>0</v>
      </c>
      <c r="I97" s="36">
        <v>0</v>
      </c>
      <c r="J97" s="36">
        <v>0</v>
      </c>
      <c r="K97" s="36">
        <v>0</v>
      </c>
      <c r="L97" s="36">
        <v>0</v>
      </c>
      <c r="M97" s="36">
        <v>0</v>
      </c>
    </row>
    <row r="98" spans="2:13">
      <c r="B98" s="6" t="s">
        <v>94</v>
      </c>
      <c r="D98" s="7">
        <v>0</v>
      </c>
      <c r="E98" s="7">
        <v>0</v>
      </c>
      <c r="F98" s="7">
        <v>27</v>
      </c>
      <c r="G98" s="7">
        <v>27</v>
      </c>
      <c r="H98" s="7">
        <v>23</v>
      </c>
      <c r="I98" s="36">
        <v>0</v>
      </c>
      <c r="J98" s="36">
        <v>0</v>
      </c>
      <c r="K98" s="36">
        <v>0</v>
      </c>
      <c r="L98" s="36">
        <v>0</v>
      </c>
      <c r="M98" s="36">
        <v>0</v>
      </c>
    </row>
    <row r="99" spans="2:13">
      <c r="B99" s="8" t="s">
        <v>95</v>
      </c>
      <c r="C99" s="9"/>
      <c r="D99" s="10">
        <f>SUM(D93:D98)</f>
        <v>-649</v>
      </c>
      <c r="E99" s="10">
        <f>SUM(E93:E98)</f>
        <v>-724</v>
      </c>
      <c r="F99" s="10">
        <f>SUM(F93:F98)</f>
        <v>-1461</v>
      </c>
      <c r="G99" s="10">
        <f>SUM(G93:G98)</f>
        <v>-787</v>
      </c>
      <c r="H99" s="10">
        <f>SUM(H93:H98)</f>
        <v>-787</v>
      </c>
      <c r="I99" s="10">
        <f t="shared" ref="I99:M99" si="44">SUM(I93:I98)</f>
        <v>-788.75</v>
      </c>
      <c r="J99" s="10">
        <f t="shared" si="44"/>
        <v>-788.75</v>
      </c>
      <c r="K99" s="10">
        <f t="shared" si="44"/>
        <v>-788.75</v>
      </c>
      <c r="L99" s="10">
        <f t="shared" si="44"/>
        <v>-788.75</v>
      </c>
      <c r="M99" s="10">
        <f t="shared" si="44"/>
        <v>-788.75</v>
      </c>
    </row>
    <row r="100" spans="2:13">
      <c r="B100" s="6" t="s">
        <v>96</v>
      </c>
      <c r="D100" s="7">
        <v>21</v>
      </c>
      <c r="E100" s="7">
        <v>13</v>
      </c>
      <c r="F100" s="7">
        <v>15</v>
      </c>
      <c r="G100" s="7">
        <v>20</v>
      </c>
      <c r="H100" s="7">
        <v>20</v>
      </c>
      <c r="I100" s="6">
        <v>20</v>
      </c>
      <c r="J100" s="6">
        <v>20</v>
      </c>
      <c r="K100" s="6">
        <v>20</v>
      </c>
      <c r="L100" s="6">
        <v>20</v>
      </c>
      <c r="M100" s="6">
        <v>20</v>
      </c>
    </row>
    <row r="101" spans="2:13">
      <c r="B101" s="6" t="s">
        <v>97</v>
      </c>
      <c r="D101" s="7">
        <v>0</v>
      </c>
      <c r="E101" s="7">
        <v>0</v>
      </c>
      <c r="F101" s="7">
        <v>575</v>
      </c>
      <c r="G101" s="7">
        <v>544</v>
      </c>
      <c r="H101" s="7">
        <v>0</v>
      </c>
      <c r="I101" s="36">
        <f>'Supporting Schedules'!H7</f>
        <v>0</v>
      </c>
      <c r="J101" s="36">
        <f>'Supporting Schedules'!I7</f>
        <v>0</v>
      </c>
      <c r="K101" s="36">
        <f>'Supporting Schedules'!J7</f>
        <v>0</v>
      </c>
      <c r="L101" s="36">
        <f>'Supporting Schedules'!K7</f>
        <v>250</v>
      </c>
      <c r="M101" s="36">
        <f>'Supporting Schedules'!L7</f>
        <v>0</v>
      </c>
    </row>
    <row r="102" spans="2:13">
      <c r="B102" s="6" t="s">
        <v>98</v>
      </c>
      <c r="D102" s="7">
        <v>-248</v>
      </c>
      <c r="E102" s="7">
        <v>-95</v>
      </c>
      <c r="F102" s="7">
        <v>-41</v>
      </c>
      <c r="G102" s="7">
        <v>-623</v>
      </c>
      <c r="H102" s="7">
        <v>-59</v>
      </c>
      <c r="I102" s="36">
        <f>'Supporting Schedules'!H8</f>
        <v>-77.2</v>
      </c>
      <c r="J102" s="36">
        <f>'Supporting Schedules'!I8</f>
        <v>-202.2</v>
      </c>
      <c r="K102" s="36">
        <f>'Supporting Schedules'!J8</f>
        <v>-77.2</v>
      </c>
      <c r="L102" s="36">
        <f>'Supporting Schedules'!K8</f>
        <v>-327.2</v>
      </c>
      <c r="M102" s="36">
        <f>'Supporting Schedules'!L8</f>
        <v>-77.2</v>
      </c>
    </row>
    <row r="103" spans="2:13">
      <c r="B103" s="6" t="s">
        <v>99</v>
      </c>
      <c r="D103" s="7">
        <v>-8</v>
      </c>
      <c r="E103" s="7">
        <v>0</v>
      </c>
      <c r="F103" s="7">
        <v>0</v>
      </c>
      <c r="G103" s="7">
        <v>0</v>
      </c>
      <c r="H103" s="7">
        <v>0</v>
      </c>
      <c r="I103" s="34">
        <v>0</v>
      </c>
      <c r="J103" s="34">
        <v>0</v>
      </c>
      <c r="K103" s="34">
        <v>0</v>
      </c>
      <c r="L103" s="34">
        <v>0</v>
      </c>
      <c r="M103" s="34">
        <v>0</v>
      </c>
    </row>
    <row r="104" spans="2:13">
      <c r="B104" s="6" t="s">
        <v>100</v>
      </c>
      <c r="D104" s="7">
        <v>-48</v>
      </c>
      <c r="E104" s="7">
        <v>-45</v>
      </c>
      <c r="F104" s="7">
        <v>-18</v>
      </c>
      <c r="G104" s="7">
        <v>-63</v>
      </c>
      <c r="H104" s="7">
        <v>-64</v>
      </c>
      <c r="I104" s="36">
        <v>-35</v>
      </c>
      <c r="J104" s="36">
        <v>-35</v>
      </c>
      <c r="K104" s="36">
        <v>-35</v>
      </c>
      <c r="L104" s="36">
        <v>-35</v>
      </c>
      <c r="M104" s="36">
        <v>-35</v>
      </c>
    </row>
    <row r="105" spans="2:13">
      <c r="B105" s="6" t="s">
        <v>101</v>
      </c>
      <c r="D105" s="7">
        <v>0</v>
      </c>
      <c r="E105" s="7">
        <v>0</v>
      </c>
      <c r="F105" s="7">
        <v>0</v>
      </c>
      <c r="G105" s="7">
        <v>-200</v>
      </c>
      <c r="H105" s="7">
        <v>-251</v>
      </c>
      <c r="I105" s="36">
        <v>-300</v>
      </c>
      <c r="J105" s="36">
        <v>-300</v>
      </c>
      <c r="K105" s="36">
        <v>-300</v>
      </c>
      <c r="L105" s="36">
        <v>-300</v>
      </c>
      <c r="M105" s="36">
        <v>-300</v>
      </c>
    </row>
    <row r="106" spans="2:13">
      <c r="B106" s="6" t="s">
        <v>102</v>
      </c>
      <c r="D106" s="7">
        <v>-493</v>
      </c>
      <c r="E106" s="7">
        <v>-514</v>
      </c>
      <c r="F106" s="7">
        <v>-507</v>
      </c>
      <c r="G106" s="7">
        <v>-487</v>
      </c>
      <c r="H106" s="7">
        <v>-504</v>
      </c>
      <c r="I106" s="36">
        <f>'Supporting Schedules'!H43</f>
        <v>-490.4</v>
      </c>
      <c r="J106" s="36">
        <f>'Supporting Schedules'!I43</f>
        <v>-492.83199999999999</v>
      </c>
      <c r="K106" s="36">
        <f>'Supporting Schedules'!J43</f>
        <v>-495.45856000000003</v>
      </c>
      <c r="L106" s="36">
        <f>'Supporting Schedules'!K43</f>
        <v>-498.29524479999998</v>
      </c>
      <c r="M106" s="36">
        <f>'Supporting Schedules'!L43</f>
        <v>-501.35886438399996</v>
      </c>
    </row>
    <row r="107" spans="2:13">
      <c r="B107" s="6" t="s">
        <v>103</v>
      </c>
      <c r="D107" s="7">
        <v>-238</v>
      </c>
      <c r="E107" s="7">
        <v>-319</v>
      </c>
      <c r="F107" s="7">
        <v>-306</v>
      </c>
      <c r="G107" s="7">
        <v>-308</v>
      </c>
      <c r="H107" s="7">
        <v>-566</v>
      </c>
      <c r="I107" s="36">
        <f>-Assumptions!F54</f>
        <v>-600</v>
      </c>
      <c r="J107" s="36">
        <f>-Assumptions!G54</f>
        <v>-600</v>
      </c>
      <c r="K107" s="36">
        <f>-Assumptions!H54</f>
        <v>-600</v>
      </c>
      <c r="L107" s="36">
        <f>-Assumptions!I54</f>
        <v>-680</v>
      </c>
      <c r="M107" s="36">
        <f>-Assumptions!J54</f>
        <v>-730</v>
      </c>
    </row>
    <row r="108" spans="2:13">
      <c r="B108" s="6" t="s">
        <v>104</v>
      </c>
      <c r="D108" s="7">
        <v>-4</v>
      </c>
      <c r="E108" s="7">
        <v>0</v>
      </c>
      <c r="F108" s="7">
        <v>0</v>
      </c>
      <c r="G108" s="7">
        <v>0</v>
      </c>
      <c r="H108" s="7">
        <v>0</v>
      </c>
      <c r="I108" s="38">
        <v>0</v>
      </c>
      <c r="J108" s="38">
        <v>0</v>
      </c>
      <c r="K108" s="38">
        <v>0</v>
      </c>
      <c r="L108" s="38">
        <v>0</v>
      </c>
      <c r="M108" s="38">
        <v>0</v>
      </c>
    </row>
    <row r="109" spans="2:13">
      <c r="B109" s="8" t="s">
        <v>105</v>
      </c>
      <c r="C109" s="9"/>
      <c r="D109" s="10">
        <f>SUM(D100:D108)</f>
        <v>-1018</v>
      </c>
      <c r="E109" s="10">
        <f>SUM(E100:E108)</f>
        <v>-960</v>
      </c>
      <c r="F109" s="10">
        <f>SUM(F100:F108)</f>
        <v>-282</v>
      </c>
      <c r="G109" s="10">
        <f>SUM(G100:G108)</f>
        <v>-1117</v>
      </c>
      <c r="H109" s="10">
        <f>SUM(H100:H108)</f>
        <v>-1424</v>
      </c>
      <c r="I109" s="10">
        <f t="shared" ref="I109:M109" si="45">SUM(I100:I108)</f>
        <v>-1482.6</v>
      </c>
      <c r="J109" s="10">
        <f t="shared" si="45"/>
        <v>-1610.0320000000002</v>
      </c>
      <c r="K109" s="10">
        <f t="shared" si="45"/>
        <v>-1487.6585600000001</v>
      </c>
      <c r="L109" s="10">
        <f t="shared" si="45"/>
        <v>-1570.4952447999999</v>
      </c>
      <c r="M109" s="10">
        <f t="shared" si="45"/>
        <v>-1623.5588643839999</v>
      </c>
    </row>
    <row r="110" spans="2:13">
      <c r="B110" s="8" t="s">
        <v>106</v>
      </c>
      <c r="C110" s="9"/>
      <c r="D110" s="10">
        <f>SUM(D92,D99,D109)</f>
        <v>-658</v>
      </c>
      <c r="E110" s="10">
        <f>SUM(E92,E99,E109)</f>
        <v>501</v>
      </c>
      <c r="F110" s="10">
        <f>SUM(F92,F99,F109)</f>
        <v>370</v>
      </c>
      <c r="G110" s="10">
        <f>SUM(G92,G99,G109)</f>
        <v>-1102</v>
      </c>
      <c r="H110" s="10">
        <f>SUM(H92,H99,H109)</f>
        <v>-437</v>
      </c>
      <c r="I110" s="10">
        <f t="shared" ref="I110:M110" si="46">SUM(I92,I99,I109)</f>
        <v>-483.12212921347009</v>
      </c>
      <c r="J110" s="10">
        <f t="shared" si="46"/>
        <v>-851.22633611696165</v>
      </c>
      <c r="K110" s="10">
        <f t="shared" si="46"/>
        <v>-603.08399750905323</v>
      </c>
      <c r="L110" s="10">
        <f t="shared" si="46"/>
        <v>-523.95601702913154</v>
      </c>
      <c r="M110" s="10">
        <f t="shared" si="46"/>
        <v>-518.90945772543887</v>
      </c>
    </row>
    <row r="111" spans="2:13">
      <c r="B111" s="72" t="s">
        <v>246</v>
      </c>
      <c r="C111" s="70"/>
      <c r="D111" s="71">
        <v>0</v>
      </c>
      <c r="E111" s="71">
        <v>0</v>
      </c>
      <c r="F111" s="71">
        <v>0</v>
      </c>
      <c r="G111" s="71">
        <v>0</v>
      </c>
      <c r="H111" s="71">
        <v>0</v>
      </c>
      <c r="I111" s="71">
        <f>I23</f>
        <v>-700</v>
      </c>
      <c r="J111" s="71">
        <v>0</v>
      </c>
      <c r="K111" s="71">
        <v>0</v>
      </c>
      <c r="L111" s="71">
        <v>0</v>
      </c>
      <c r="M111" s="71">
        <v>0</v>
      </c>
    </row>
    <row r="112" spans="2:13">
      <c r="B112" s="72" t="s">
        <v>247</v>
      </c>
      <c r="C112" s="70"/>
      <c r="D112" s="71">
        <v>0</v>
      </c>
      <c r="E112" s="71">
        <v>0</v>
      </c>
      <c r="F112" s="71">
        <v>0</v>
      </c>
      <c r="G112" s="71">
        <v>0</v>
      </c>
      <c r="H112" s="71">
        <v>0</v>
      </c>
      <c r="I112" s="71">
        <v>700</v>
      </c>
      <c r="J112" s="71">
        <v>0</v>
      </c>
      <c r="K112" s="71">
        <v>0</v>
      </c>
      <c r="L112" s="71">
        <v>0</v>
      </c>
      <c r="M112" s="71">
        <v>0</v>
      </c>
    </row>
    <row r="113" spans="2:13">
      <c r="B113" s="72" t="s">
        <v>248</v>
      </c>
      <c r="C113" s="70"/>
      <c r="D113" s="71">
        <v>0</v>
      </c>
      <c r="E113" s="71">
        <v>0</v>
      </c>
      <c r="F113" s="71">
        <v>0</v>
      </c>
      <c r="G113" s="71">
        <v>0</v>
      </c>
      <c r="H113" s="71">
        <v>0</v>
      </c>
      <c r="I113" s="6">
        <v>70</v>
      </c>
      <c r="J113" s="69">
        <v>16.600000000000001</v>
      </c>
      <c r="K113" s="69">
        <v>16.600000000000001</v>
      </c>
      <c r="L113" s="69">
        <v>16.600000000000001</v>
      </c>
      <c r="M113" s="69">
        <v>16.600000000000001</v>
      </c>
    </row>
    <row r="114" spans="2:13">
      <c r="B114" s="6" t="s">
        <v>107</v>
      </c>
      <c r="D114" s="7">
        <v>0</v>
      </c>
      <c r="E114" s="7">
        <v>0</v>
      </c>
      <c r="F114" s="7">
        <v>298</v>
      </c>
      <c r="G114" s="7">
        <v>1345</v>
      </c>
      <c r="H114" s="7">
        <v>-718</v>
      </c>
      <c r="I114" s="29">
        <f>I111+I112+I113</f>
        <v>70</v>
      </c>
      <c r="J114" s="29">
        <f t="shared" ref="J114:M114" si="47">J111+J112+J113</f>
        <v>16.600000000000001</v>
      </c>
      <c r="K114" s="29">
        <f t="shared" si="47"/>
        <v>16.600000000000001</v>
      </c>
      <c r="L114" s="29">
        <f t="shared" si="47"/>
        <v>16.600000000000001</v>
      </c>
      <c r="M114" s="29">
        <f t="shared" si="47"/>
        <v>16.600000000000001</v>
      </c>
    </row>
    <row r="115" spans="2:13">
      <c r="B115" s="8" t="s">
        <v>108</v>
      </c>
      <c r="C115" s="9"/>
      <c r="D115" s="10">
        <f t="shared" ref="D115:I115" si="48">D110+D114</f>
        <v>-658</v>
      </c>
      <c r="E115" s="10">
        <f t="shared" si="48"/>
        <v>501</v>
      </c>
      <c r="F115" s="10">
        <f t="shared" si="48"/>
        <v>668</v>
      </c>
      <c r="G115" s="10">
        <f t="shared" si="48"/>
        <v>243</v>
      </c>
      <c r="H115" s="10">
        <f t="shared" si="48"/>
        <v>-1155</v>
      </c>
      <c r="I115" s="10">
        <f t="shared" si="48"/>
        <v>-413.12212921347009</v>
      </c>
      <c r="J115" s="10">
        <f t="shared" ref="J115:M115" si="49">J110+J114</f>
        <v>-834.62633611696162</v>
      </c>
      <c r="K115" s="10">
        <f t="shared" si="49"/>
        <v>-586.48399750905321</v>
      </c>
      <c r="L115" s="10">
        <f t="shared" si="49"/>
        <v>-507.35601702913152</v>
      </c>
      <c r="M115" s="10">
        <f t="shared" si="49"/>
        <v>-502.30945772543885</v>
      </c>
    </row>
    <row r="116" spans="2:13">
      <c r="B116" s="6" t="s">
        <v>109</v>
      </c>
      <c r="D116" s="7">
        <v>1476</v>
      </c>
      <c r="E116" s="7">
        <v>818</v>
      </c>
      <c r="F116" s="7">
        <v>1319</v>
      </c>
      <c r="G116" s="7">
        <v>1978</v>
      </c>
      <c r="H116" s="7">
        <v>2221</v>
      </c>
      <c r="I116" s="29">
        <f>H117</f>
        <v>1066</v>
      </c>
      <c r="J116" s="29">
        <f t="shared" ref="J116:M116" si="50">I117</f>
        <v>652.87787078652991</v>
      </c>
      <c r="K116" s="29">
        <f t="shared" si="50"/>
        <v>-181.74846533043171</v>
      </c>
      <c r="L116" s="29">
        <f t="shared" si="50"/>
        <v>-768.23246283948492</v>
      </c>
      <c r="M116" s="29">
        <f t="shared" si="50"/>
        <v>-1275.5884798686166</v>
      </c>
    </row>
    <row r="117" spans="2:13">
      <c r="B117" s="8" t="s">
        <v>110</v>
      </c>
      <c r="C117" s="9"/>
      <c r="D117" s="10">
        <f>D116+D115</f>
        <v>818</v>
      </c>
      <c r="E117" s="10">
        <f>E116+E115</f>
        <v>1319</v>
      </c>
      <c r="F117" s="10">
        <f>F116+F115</f>
        <v>1987</v>
      </c>
      <c r="G117" s="10">
        <f>G116+G115</f>
        <v>2221</v>
      </c>
      <c r="H117" s="10">
        <f>H116+H115</f>
        <v>1066</v>
      </c>
      <c r="I117" s="10">
        <f t="shared" ref="I117:M117" si="51">I116+I115</f>
        <v>652.87787078652991</v>
      </c>
      <c r="J117" s="10">
        <f t="shared" si="51"/>
        <v>-181.74846533043171</v>
      </c>
      <c r="K117" s="10">
        <f t="shared" si="51"/>
        <v>-768.23246283948492</v>
      </c>
      <c r="L117" s="10">
        <f t="shared" si="51"/>
        <v>-1275.5884798686166</v>
      </c>
      <c r="M117" s="10">
        <f t="shared" si="51"/>
        <v>-1777.8979375940553</v>
      </c>
    </row>
    <row r="118" spans="2:13">
      <c r="B118" s="6" t="s">
        <v>111</v>
      </c>
      <c r="D118" s="7">
        <v>818</v>
      </c>
      <c r="E118" s="7">
        <v>1319</v>
      </c>
      <c r="F118" s="7">
        <v>1987</v>
      </c>
      <c r="G118" s="7">
        <v>2221</v>
      </c>
      <c r="H118" s="7">
        <v>1066</v>
      </c>
      <c r="I118" s="29">
        <f>I117</f>
        <v>652.87787078652991</v>
      </c>
      <c r="J118" s="29">
        <f t="shared" ref="J118:M118" si="52">J117</f>
        <v>-181.74846533043171</v>
      </c>
      <c r="K118" s="29">
        <f t="shared" si="52"/>
        <v>-768.23246283948492</v>
      </c>
      <c r="L118" s="29">
        <f t="shared" si="52"/>
        <v>-1275.5884798686166</v>
      </c>
      <c r="M118" s="29">
        <f t="shared" si="52"/>
        <v>-1777.8979375940553</v>
      </c>
    </row>
    <row r="119" spans="2:13">
      <c r="B119" s="8" t="s">
        <v>112</v>
      </c>
      <c r="C119" s="9"/>
      <c r="D119" s="10">
        <f>IF(ABS(D117-D118)&lt;=1,0,D117-D118)</f>
        <v>0</v>
      </c>
      <c r="E119" s="10">
        <f>IF(ABS(E117-E118)&lt;=1,0,E117-E118)</f>
        <v>0</v>
      </c>
      <c r="F119" s="10">
        <f>IF(ABS(F117-F118)&lt;=1,0,F117-F118)</f>
        <v>0</v>
      </c>
      <c r="G119" s="10">
        <f>IF(ABS(G117-G118)&lt;=1,0,G117-G118)</f>
        <v>0</v>
      </c>
      <c r="H119" s="10">
        <f>IF(ABS(H117-H118)&lt;=1,0,H117-H118)</f>
        <v>0</v>
      </c>
      <c r="I119" s="10">
        <f t="shared" ref="I119:M119" si="53">IF(ABS(I117-I118)&lt;=1,0,I117-I118)</f>
        <v>0</v>
      </c>
      <c r="J119" s="10">
        <f t="shared" si="53"/>
        <v>0</v>
      </c>
      <c r="K119" s="10">
        <f t="shared" si="53"/>
        <v>0</v>
      </c>
      <c r="L119" s="10">
        <f t="shared" si="53"/>
        <v>0</v>
      </c>
      <c r="M119" s="10">
        <f t="shared" si="53"/>
        <v>0</v>
      </c>
    </row>
    <row r="120" spans="2:13">
      <c r="B120" s="6" t="s">
        <v>113</v>
      </c>
      <c r="D120" s="7">
        <v>-7</v>
      </c>
      <c r="E120" s="7">
        <v>0</v>
      </c>
      <c r="F120" s="7">
        <v>0</v>
      </c>
      <c r="G120" s="7">
        <v>-1</v>
      </c>
      <c r="H120" s="7">
        <v>-1</v>
      </c>
    </row>
    <row r="121" spans="2:13">
      <c r="B121" s="8" t="s">
        <v>114</v>
      </c>
      <c r="C121" s="9"/>
      <c r="D121" s="10">
        <f>D118-D120</f>
        <v>825</v>
      </c>
      <c r="E121" s="10">
        <f>E118-E120</f>
        <v>1319</v>
      </c>
      <c r="F121" s="10">
        <f>F118-F120</f>
        <v>1987</v>
      </c>
      <c r="G121" s="10">
        <f>G118-G120</f>
        <v>2222</v>
      </c>
      <c r="H121" s="10">
        <f>H118-H120</f>
        <v>1067</v>
      </c>
    </row>
    <row r="122" spans="2:13">
      <c r="B122" s="8" t="s">
        <v>115</v>
      </c>
      <c r="C122" s="9"/>
      <c r="D122" s="10">
        <f>D121-D47</f>
        <v>0</v>
      </c>
      <c r="E122" s="10">
        <f>E121-E47</f>
        <v>0</v>
      </c>
      <c r="F122" s="10">
        <f>F121-F47</f>
        <v>0</v>
      </c>
      <c r="G122" s="10">
        <f>G121-G47</f>
        <v>0</v>
      </c>
      <c r="H122" s="10">
        <f>H121-H47</f>
        <v>0</v>
      </c>
    </row>
    <row r="125" spans="2:13" ht="25">
      <c r="B125" s="198" t="s">
        <v>116</v>
      </c>
      <c r="C125" s="198"/>
      <c r="D125" s="198"/>
      <c r="E125" s="198"/>
      <c r="F125" s="198"/>
      <c r="G125" s="198"/>
      <c r="H125" s="198"/>
      <c r="I125" s="198"/>
      <c r="J125" s="198"/>
      <c r="K125" s="198"/>
      <c r="L125" s="198"/>
      <c r="M125" s="198"/>
    </row>
    <row r="126" spans="2:13">
      <c r="B126" s="15" t="s">
        <v>117</v>
      </c>
      <c r="C126" s="15"/>
      <c r="D126" s="16">
        <f t="shared" ref="D126:M126" si="54">D15+D86</f>
        <v>2376</v>
      </c>
      <c r="E126" s="16">
        <f t="shared" si="54"/>
        <v>1770</v>
      </c>
      <c r="F126" s="16">
        <f t="shared" si="54"/>
        <v>1904</v>
      </c>
      <c r="G126" s="16">
        <f t="shared" si="54"/>
        <v>2105</v>
      </c>
      <c r="H126" s="16">
        <f t="shared" si="54"/>
        <v>2135</v>
      </c>
      <c r="I126" s="16">
        <f t="shared" si="54"/>
        <v>1870.9224266666661</v>
      </c>
      <c r="J126" s="16">
        <f t="shared" si="54"/>
        <v>1972.1295864888896</v>
      </c>
      <c r="K126" s="16">
        <f t="shared" si="54"/>
        <v>2060.3283842581441</v>
      </c>
      <c r="L126" s="16">
        <f t="shared" si="54"/>
        <v>2136.9451787821517</v>
      </c>
      <c r="M126" s="16">
        <f t="shared" si="54"/>
        <v>2249.9105899993315</v>
      </c>
    </row>
    <row r="127" spans="2:13">
      <c r="B127" s="11" t="s">
        <v>118</v>
      </c>
      <c r="C127" s="11"/>
      <c r="D127" s="12">
        <f t="shared" ref="D127:M127" si="55">D126/D7</f>
        <v>7.9478173607626698E-2</v>
      </c>
      <c r="E127" s="12">
        <f t="shared" si="55"/>
        <v>5.6206535200533488E-2</v>
      </c>
      <c r="F127" s="12">
        <f t="shared" si="55"/>
        <v>5.9060735777653701E-2</v>
      </c>
      <c r="G127" s="12">
        <f t="shared" si="55"/>
        <v>6.4231661174173074E-2</v>
      </c>
      <c r="H127" s="12">
        <f t="shared" si="55"/>
        <v>6.3452908134454783E-2</v>
      </c>
      <c r="I127" s="12">
        <f t="shared" si="55"/>
        <v>6.3186858029578019E-2</v>
      </c>
      <c r="J127" s="12">
        <f t="shared" si="55"/>
        <v>6.5815156108768341E-2</v>
      </c>
      <c r="K127" s="12">
        <f t="shared" si="55"/>
        <v>6.7943263025253872E-2</v>
      </c>
      <c r="L127" s="12">
        <f t="shared" si="55"/>
        <v>6.9634237290255613E-2</v>
      </c>
      <c r="M127" s="12">
        <f t="shared" si="55"/>
        <v>7.2303071524027054E-2</v>
      </c>
    </row>
    <row r="128" spans="2:13">
      <c r="B128" s="11" t="s">
        <v>119</v>
      </c>
      <c r="C128" s="11"/>
      <c r="D128" s="17">
        <f t="shared" ref="D128:M128" si="56">D126+D87</f>
        <v>2385</v>
      </c>
      <c r="E128" s="17">
        <f t="shared" si="56"/>
        <v>2085</v>
      </c>
      <c r="F128" s="17">
        <f t="shared" si="56"/>
        <v>1949</v>
      </c>
      <c r="G128" s="17">
        <f t="shared" si="56"/>
        <v>2127</v>
      </c>
      <c r="H128" s="17">
        <f t="shared" si="56"/>
        <v>2158</v>
      </c>
      <c r="I128" s="17">
        <f t="shared" si="56"/>
        <v>1870.9224266666661</v>
      </c>
      <c r="J128" s="17">
        <f t="shared" si="56"/>
        <v>2027.1256904759159</v>
      </c>
      <c r="K128" s="17">
        <f t="shared" si="56"/>
        <v>2139.3138171490127</v>
      </c>
      <c r="L128" s="17">
        <f t="shared" si="56"/>
        <v>2194.9528828526795</v>
      </c>
      <c r="M128" s="17">
        <f t="shared" si="56"/>
        <v>2249.9105899993315</v>
      </c>
    </row>
    <row r="129" spans="2:13">
      <c r="B129" s="15" t="s">
        <v>120</v>
      </c>
      <c r="C129" s="15"/>
      <c r="D129" s="16">
        <f>-(D93+D95)</f>
        <v>694</v>
      </c>
      <c r="E129" s="16">
        <f>-(E93+E95)</f>
        <v>738</v>
      </c>
      <c r="F129" s="16">
        <f>-(F93+F95)</f>
        <v>1559</v>
      </c>
      <c r="G129" s="16">
        <f>-(G93+G95)</f>
        <v>825</v>
      </c>
      <c r="H129" s="16">
        <f>-(H93+H95)</f>
        <v>843</v>
      </c>
      <c r="I129" s="16">
        <f t="shared" ref="I129:M129" si="57">-(I93+I95)</f>
        <v>823.75</v>
      </c>
      <c r="J129" s="16">
        <f t="shared" si="57"/>
        <v>823.75</v>
      </c>
      <c r="K129" s="16">
        <f t="shared" si="57"/>
        <v>823.75</v>
      </c>
      <c r="L129" s="16">
        <f t="shared" si="57"/>
        <v>823.75</v>
      </c>
      <c r="M129" s="16">
        <f t="shared" si="57"/>
        <v>823.75</v>
      </c>
    </row>
    <row r="130" spans="2:13">
      <c r="B130" s="8" t="s">
        <v>121</v>
      </c>
      <c r="C130" s="9"/>
      <c r="D130" s="10">
        <f>D92+D93+D95+D106</f>
        <v>-178</v>
      </c>
      <c r="E130" s="10">
        <f t="shared" ref="E130:M130" si="58">E92+E93+E95+E106</f>
        <v>933</v>
      </c>
      <c r="F130" s="10">
        <f t="shared" si="58"/>
        <v>47</v>
      </c>
      <c r="G130" s="10">
        <f t="shared" si="58"/>
        <v>-510</v>
      </c>
      <c r="H130" s="10">
        <f t="shared" si="58"/>
        <v>427</v>
      </c>
      <c r="I130" s="10">
        <f t="shared" si="58"/>
        <v>474.07787078652984</v>
      </c>
      <c r="J130" s="10">
        <f t="shared" si="58"/>
        <v>230.97366388303851</v>
      </c>
      <c r="K130" s="10">
        <f t="shared" si="58"/>
        <v>354.11600249094681</v>
      </c>
      <c r="L130" s="10">
        <f t="shared" si="58"/>
        <v>513.24398297086839</v>
      </c>
      <c r="M130" s="10">
        <f t="shared" si="58"/>
        <v>568.29054227456106</v>
      </c>
    </row>
    <row r="131" spans="2:13">
      <c r="B131" s="11" t="s">
        <v>122</v>
      </c>
      <c r="C131" s="11"/>
      <c r="D131" s="12">
        <f t="shared" ref="D131:M131" si="59">D130/D7</f>
        <v>-5.9541729386184978E-3</v>
      </c>
      <c r="E131" s="12">
        <f t="shared" si="59"/>
        <v>2.9627512622654093E-2</v>
      </c>
      <c r="F131" s="12">
        <f t="shared" si="59"/>
        <v>1.4579068180408214E-3</v>
      </c>
      <c r="G131" s="12">
        <f t="shared" si="59"/>
        <v>-1.5562065177590626E-2</v>
      </c>
      <c r="H131" s="12">
        <f t="shared" si="59"/>
        <v>1.2690581626890957E-2</v>
      </c>
      <c r="I131" s="12">
        <f t="shared" si="59"/>
        <v>1.601108131977624E-2</v>
      </c>
      <c r="J131" s="12">
        <f t="shared" si="59"/>
        <v>7.7081992226183801E-3</v>
      </c>
      <c r="K131" s="12">
        <f t="shared" si="59"/>
        <v>1.1677651428054752E-2</v>
      </c>
      <c r="L131" s="12">
        <f t="shared" si="59"/>
        <v>1.6724506390172006E-2</v>
      </c>
      <c r="M131" s="12">
        <f t="shared" si="59"/>
        <v>1.8262570924881916E-2</v>
      </c>
    </row>
    <row r="132" spans="2:13">
      <c r="B132" s="11" t="s">
        <v>123</v>
      </c>
      <c r="C132" s="11"/>
      <c r="D132" s="17">
        <f t="shared" ref="D132:M132" si="60">D54+D65</f>
        <v>761</v>
      </c>
      <c r="E132" s="17">
        <f t="shared" si="60"/>
        <v>656</v>
      </c>
      <c r="F132" s="17">
        <f t="shared" si="60"/>
        <v>1195</v>
      </c>
      <c r="G132" s="17">
        <f t="shared" si="60"/>
        <v>1114</v>
      </c>
      <c r="H132" s="17">
        <f t="shared" si="60"/>
        <v>1061</v>
      </c>
      <c r="I132" s="17">
        <f t="shared" si="60"/>
        <v>1056</v>
      </c>
      <c r="J132" s="17">
        <f t="shared" si="60"/>
        <v>983.8</v>
      </c>
      <c r="K132" s="17">
        <f t="shared" si="60"/>
        <v>781.60000000000014</v>
      </c>
      <c r="L132" s="17">
        <f t="shared" si="60"/>
        <v>954.40000000000009</v>
      </c>
      <c r="M132" s="17">
        <f t="shared" si="60"/>
        <v>627.20000000000005</v>
      </c>
    </row>
    <row r="133" spans="2:13">
      <c r="B133" s="11" t="s">
        <v>124</v>
      </c>
      <c r="C133" s="11"/>
      <c r="D133" s="17">
        <f t="shared" ref="D133:M133" si="61">D55+D66</f>
        <v>6621</v>
      </c>
      <c r="E133" s="17">
        <f t="shared" si="61"/>
        <v>6489</v>
      </c>
      <c r="F133" s="17">
        <f t="shared" si="61"/>
        <v>5354</v>
      </c>
      <c r="G133" s="17">
        <f t="shared" si="61"/>
        <v>5494</v>
      </c>
      <c r="H133" s="17">
        <f t="shared" si="61"/>
        <v>5540</v>
      </c>
      <c r="I133" s="17">
        <f t="shared" si="61"/>
        <v>5179.2000000000007</v>
      </c>
      <c r="J133" s="17">
        <f t="shared" si="61"/>
        <v>5113.5360000000001</v>
      </c>
      <c r="K133" s="17">
        <f t="shared" si="61"/>
        <v>5042.61888</v>
      </c>
      <c r="L133" s="17">
        <f t="shared" si="61"/>
        <v>4966.0283904000007</v>
      </c>
      <c r="M133" s="17">
        <f t="shared" si="61"/>
        <v>4883.3106616320001</v>
      </c>
    </row>
    <row r="134" spans="2:13">
      <c r="B134" s="11" t="s">
        <v>125</v>
      </c>
      <c r="C134" s="11"/>
      <c r="D134" s="17">
        <f>D132+D133</f>
        <v>7382</v>
      </c>
      <c r="E134" s="17">
        <f>E132+E133</f>
        <v>7145</v>
      </c>
      <c r="F134" s="17">
        <f>F132+F133</f>
        <v>6549</v>
      </c>
      <c r="G134" s="17">
        <f>G132+G133</f>
        <v>6608</v>
      </c>
      <c r="H134" s="17">
        <f>H132+H133</f>
        <v>6601</v>
      </c>
      <c r="I134" s="17">
        <f t="shared" ref="I134:M134" si="62">I132+I133</f>
        <v>6235.2000000000007</v>
      </c>
      <c r="J134" s="17">
        <f t="shared" si="62"/>
        <v>6097.3360000000002</v>
      </c>
      <c r="K134" s="17">
        <f t="shared" si="62"/>
        <v>5824.2188800000004</v>
      </c>
      <c r="L134" s="17">
        <f t="shared" si="62"/>
        <v>5920.4283904000004</v>
      </c>
      <c r="M134" s="17">
        <f t="shared" si="62"/>
        <v>5510.5106616319999</v>
      </c>
    </row>
    <row r="135" spans="2:13">
      <c r="B135" s="11" t="s">
        <v>126</v>
      </c>
      <c r="C135" s="11"/>
      <c r="D135" s="17">
        <f t="shared" ref="D135:M135" si="63">D134-D47</f>
        <v>6557</v>
      </c>
      <c r="E135" s="17">
        <f t="shared" si="63"/>
        <v>5826</v>
      </c>
      <c r="F135" s="17">
        <f t="shared" si="63"/>
        <v>4562</v>
      </c>
      <c r="G135" s="17">
        <f t="shared" si="63"/>
        <v>4386</v>
      </c>
      <c r="H135" s="17">
        <f t="shared" si="63"/>
        <v>5534</v>
      </c>
      <c r="I135" s="17">
        <f t="shared" si="63"/>
        <v>5582.3221292134713</v>
      </c>
      <c r="J135" s="17">
        <f t="shared" si="63"/>
        <v>6279.0844653304321</v>
      </c>
      <c r="K135" s="17">
        <f t="shared" si="63"/>
        <v>6592.4513428394857</v>
      </c>
      <c r="L135" s="17">
        <f t="shared" si="63"/>
        <v>7196.0168702686169</v>
      </c>
      <c r="M135" s="17">
        <f t="shared" si="63"/>
        <v>7288.4085992260552</v>
      </c>
    </row>
    <row r="136" spans="2:13">
      <c r="B136" s="11" t="s">
        <v>127</v>
      </c>
      <c r="C136" s="11"/>
      <c r="D136" s="18">
        <f>IFERROR(D135/D126,"")</f>
        <v>2.7596801346801345</v>
      </c>
      <c r="E136" s="18">
        <f>IFERROR(E135/E126,"")</f>
        <v>3.2915254237288134</v>
      </c>
      <c r="F136" s="18">
        <f>IFERROR(F135/F126,"")</f>
        <v>2.3960084033613445</v>
      </c>
      <c r="G136" s="18">
        <f>IFERROR(G135/G126,"")</f>
        <v>2.0836104513064133</v>
      </c>
      <c r="H136" s="18">
        <f>IFERROR(H135/H126,"")</f>
        <v>2.5920374707259954</v>
      </c>
      <c r="I136" s="18">
        <f t="shared" ref="I136:M136" si="64">IFERROR(I135/I126,"")</f>
        <v>2.9837271976899813</v>
      </c>
      <c r="J136" s="18">
        <f t="shared" si="64"/>
        <v>3.1839106863710178</v>
      </c>
      <c r="K136" s="18">
        <f t="shared" si="64"/>
        <v>3.1997090333797487</v>
      </c>
      <c r="L136" s="18">
        <f t="shared" si="64"/>
        <v>3.367431669150089</v>
      </c>
      <c r="M136" s="18">
        <f t="shared" si="64"/>
        <v>3.2394214381773372</v>
      </c>
    </row>
    <row r="138" spans="2:13">
      <c r="B138" s="199" t="s">
        <v>128</v>
      </c>
      <c r="C138" s="199"/>
      <c r="D138" s="199"/>
      <c r="E138" s="199"/>
      <c r="F138" s="199"/>
      <c r="G138" s="199"/>
      <c r="H138" s="199"/>
    </row>
    <row r="139" spans="2:13">
      <c r="B139" s="199"/>
      <c r="C139" s="199"/>
      <c r="D139" s="199"/>
      <c r="E139" s="199"/>
      <c r="F139" s="199"/>
      <c r="G139" s="199"/>
      <c r="H139" s="199"/>
    </row>
    <row r="140" spans="2:13">
      <c r="B140" s="199"/>
      <c r="C140" s="199"/>
      <c r="D140" s="199"/>
      <c r="E140" s="199"/>
      <c r="F140" s="199"/>
      <c r="G140" s="199"/>
      <c r="H140" s="199"/>
    </row>
  </sheetData>
  <mergeCells count="7">
    <mergeCell ref="B2:H2"/>
    <mergeCell ref="B1:M1"/>
    <mergeCell ref="B138:H140"/>
    <mergeCell ref="B6:M6"/>
    <mergeCell ref="B30:M30"/>
    <mergeCell ref="B84:M84"/>
    <mergeCell ref="B125:M125"/>
  </mergeCells>
  <pageMargins left="0.7" right="0.7" top="0.75" bottom="0.75" header="0.3" footer="0.3"/>
  <ignoredErrors>
    <ignoredError sqref="I14:M14 I17" formulaRange="1"/>
    <ignoredError sqref="I89 J75" formula="1"/>
  </ignoredErrors>
  <extLst>
    <ext xmlns:x14="http://schemas.microsoft.com/office/spreadsheetml/2009/9/main" uri="{CCE6A557-97BC-4b89-ADB6-D9C93CAAB3DF}">
      <x14:dataValidations xmlns:xm="http://schemas.microsoft.com/office/excel/2006/main" count="1">
        <x14:dataValidation type="list" allowBlank="1" showInputMessage="1" showErrorMessage="1" xr:uid="{FB584F8F-E0D1-1040-8BBA-D7753836BE37}">
          <x14:formula1>
            <xm:f>Assumptions!$C$4:$C$6</xm:f>
          </x14:formula1>
          <xm:sqref>I3:I4</xm:sqref>
        </x14:dataValidation>
      </x14:dataValidation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3FFE44C-34DA-9A40-9313-77C8055760D4}">
  <dimension ref="B1:K56"/>
  <sheetViews>
    <sheetView showGridLines="0" zoomScale="75" workbookViewId="0">
      <selection activeCell="E19" sqref="E19"/>
    </sheetView>
  </sheetViews>
  <sheetFormatPr baseColWidth="10" defaultRowHeight="16"/>
  <cols>
    <col min="1" max="4" width="5.83203125" style="6" customWidth="1"/>
    <col min="5" max="5" width="28.6640625" style="6" bestFit="1" customWidth="1"/>
    <col min="6" max="10" width="12.83203125" style="6" customWidth="1"/>
    <col min="11" max="11" width="80.6640625" style="6" customWidth="1"/>
    <col min="12" max="16384" width="10.83203125" style="6"/>
  </cols>
  <sheetData>
    <row r="1" spans="2:10" ht="25">
      <c r="E1" s="169" t="s">
        <v>188</v>
      </c>
      <c r="F1" s="169">
        <v>2027</v>
      </c>
      <c r="G1" s="169">
        <v>2028</v>
      </c>
      <c r="H1" s="169">
        <v>2029</v>
      </c>
      <c r="I1" s="169">
        <v>2030</v>
      </c>
      <c r="J1" s="169">
        <v>2031</v>
      </c>
    </row>
    <row r="2" spans="2:10">
      <c r="E2" s="22" t="s">
        <v>330</v>
      </c>
    </row>
    <row r="3" spans="2:10">
      <c r="B3" s="200" t="s">
        <v>333</v>
      </c>
      <c r="C3" s="200"/>
      <c r="E3" s="164" t="s">
        <v>8</v>
      </c>
      <c r="F3" s="174">
        <v>-0.12</v>
      </c>
      <c r="G3" s="174">
        <v>1.2E-2</v>
      </c>
      <c r="H3" s="174">
        <v>1.2E-2</v>
      </c>
      <c r="I3" s="174">
        <v>1.2E-2</v>
      </c>
      <c r="J3" s="174">
        <v>1.4E-2</v>
      </c>
    </row>
    <row r="4" spans="2:10">
      <c r="C4" s="6">
        <v>1</v>
      </c>
      <c r="E4" s="164" t="s">
        <v>190</v>
      </c>
      <c r="F4" s="174">
        <v>0.93400000000000005</v>
      </c>
      <c r="G4" s="174">
        <v>0.9325</v>
      </c>
      <c r="H4" s="174">
        <v>0.93100000000000005</v>
      </c>
      <c r="I4" s="174">
        <v>0.93</v>
      </c>
      <c r="J4" s="174">
        <v>0.92800000000000005</v>
      </c>
    </row>
    <row r="5" spans="2:10">
      <c r="C5" s="6">
        <v>2</v>
      </c>
      <c r="E5" s="164" t="s">
        <v>191</v>
      </c>
      <c r="F5" s="175">
        <v>-1.7999999999999999E-2</v>
      </c>
      <c r="G5" s="175">
        <v>-1.7999999999999999E-2</v>
      </c>
      <c r="H5" s="175">
        <v>-1.7999999999999999E-2</v>
      </c>
      <c r="I5" s="175">
        <v>-1.4999999999999999E-2</v>
      </c>
      <c r="J5" s="175">
        <v>-1.4999999999999999E-2</v>
      </c>
    </row>
    <row r="6" spans="2:10">
      <c r="C6" s="6">
        <v>3</v>
      </c>
      <c r="E6" s="164" t="s">
        <v>194</v>
      </c>
      <c r="F6" s="176">
        <v>20</v>
      </c>
      <c r="G6" s="176">
        <v>18</v>
      </c>
      <c r="H6" s="176">
        <v>16</v>
      </c>
      <c r="I6" s="176">
        <v>15.5</v>
      </c>
      <c r="J6" s="176">
        <v>15</v>
      </c>
    </row>
    <row r="7" spans="2:10">
      <c r="E7" s="164" t="s">
        <v>195</v>
      </c>
      <c r="F7" s="176">
        <v>5</v>
      </c>
      <c r="G7" s="176">
        <v>5</v>
      </c>
      <c r="H7" s="176">
        <v>5</v>
      </c>
      <c r="I7" s="176">
        <v>5</v>
      </c>
      <c r="J7" s="176">
        <v>5</v>
      </c>
    </row>
    <row r="8" spans="2:10">
      <c r="E8" s="164" t="s">
        <v>196</v>
      </c>
      <c r="F8" s="176">
        <v>64</v>
      </c>
      <c r="G8" s="176">
        <v>64</v>
      </c>
      <c r="H8" s="176">
        <v>64</v>
      </c>
      <c r="I8" s="176">
        <v>64</v>
      </c>
      <c r="J8" s="176">
        <v>64</v>
      </c>
    </row>
    <row r="9" spans="2:10">
      <c r="E9" s="164" t="s">
        <v>197</v>
      </c>
      <c r="F9" s="177">
        <v>-130</v>
      </c>
      <c r="G9" s="177">
        <v>-120</v>
      </c>
      <c r="H9" s="177">
        <v>-110</v>
      </c>
      <c r="I9" s="177">
        <v>-110</v>
      </c>
      <c r="J9" s="177">
        <v>-110</v>
      </c>
    </row>
    <row r="10" spans="2:10">
      <c r="E10" s="164" t="s">
        <v>218</v>
      </c>
      <c r="F10" s="176">
        <v>1200</v>
      </c>
      <c r="G10" s="176">
        <v>1200</v>
      </c>
      <c r="H10" s="176">
        <v>1200</v>
      </c>
      <c r="I10" s="176">
        <v>1200</v>
      </c>
      <c r="J10" s="176">
        <v>1200</v>
      </c>
    </row>
    <row r="11" spans="2:10">
      <c r="E11" s="164" t="s">
        <v>220</v>
      </c>
      <c r="F11" s="176">
        <v>825</v>
      </c>
      <c r="G11" s="176">
        <v>825</v>
      </c>
      <c r="H11" s="176">
        <v>825</v>
      </c>
      <c r="I11" s="176">
        <v>825</v>
      </c>
      <c r="J11" s="176">
        <v>825</v>
      </c>
    </row>
    <row r="12" spans="2:10">
      <c r="E12" s="164" t="s">
        <v>244</v>
      </c>
      <c r="F12" s="176">
        <v>600</v>
      </c>
      <c r="G12" s="176">
        <v>600</v>
      </c>
      <c r="H12" s="176">
        <v>600</v>
      </c>
      <c r="I12" s="176">
        <v>680</v>
      </c>
      <c r="J12" s="176">
        <v>730</v>
      </c>
    </row>
    <row r="13" spans="2:10">
      <c r="E13" s="164" t="s">
        <v>249</v>
      </c>
      <c r="F13" s="175">
        <v>0.32</v>
      </c>
      <c r="G13" s="175">
        <v>0.32</v>
      </c>
      <c r="H13" s="175">
        <v>0.32</v>
      </c>
      <c r="I13" s="175">
        <v>0.32</v>
      </c>
      <c r="J13" s="175">
        <v>0.32</v>
      </c>
    </row>
    <row r="14" spans="2:10">
      <c r="E14" s="164" t="s">
        <v>328</v>
      </c>
      <c r="F14" s="176">
        <v>1200</v>
      </c>
      <c r="G14" s="176">
        <v>1200</v>
      </c>
      <c r="H14" s="176">
        <v>1200</v>
      </c>
      <c r="I14" s="176">
        <v>1200</v>
      </c>
      <c r="J14" s="176">
        <v>1200</v>
      </c>
    </row>
    <row r="15" spans="2:10">
      <c r="F15" s="178"/>
      <c r="G15" s="178"/>
      <c r="H15" s="178"/>
      <c r="I15" s="178"/>
      <c r="J15" s="178"/>
    </row>
    <row r="16" spans="2:10">
      <c r="E16" s="22" t="s">
        <v>331</v>
      </c>
      <c r="F16" s="178"/>
      <c r="G16" s="178"/>
      <c r="H16" s="178"/>
      <c r="I16" s="178"/>
      <c r="J16" s="178"/>
    </row>
    <row r="17" spans="5:10">
      <c r="E17" s="164" t="s">
        <v>8</v>
      </c>
      <c r="F17" s="174">
        <v>-0.13500000000000001</v>
      </c>
      <c r="G17" s="174">
        <v>3.0000000000000001E-3</v>
      </c>
      <c r="H17" s="174">
        <v>5.0000000000000001E-3</v>
      </c>
      <c r="I17" s="174">
        <v>7.0000000000000001E-3</v>
      </c>
      <c r="J17" s="174">
        <v>8.0000000000000002E-3</v>
      </c>
    </row>
    <row r="18" spans="5:10">
      <c r="E18" s="164" t="s">
        <v>190</v>
      </c>
      <c r="F18" s="174">
        <v>0.94</v>
      </c>
      <c r="G18" s="174">
        <v>0.94</v>
      </c>
      <c r="H18" s="174">
        <v>0.93899999999999995</v>
      </c>
      <c r="I18" s="174">
        <v>0.93799999999999994</v>
      </c>
      <c r="J18" s="174">
        <v>0.93700000000000006</v>
      </c>
    </row>
    <row r="19" spans="5:10">
      <c r="E19" s="164" t="s">
        <v>191</v>
      </c>
      <c r="F19" s="175">
        <v>0</v>
      </c>
      <c r="G19" s="175">
        <v>-5.0000000000000001E-3</v>
      </c>
      <c r="H19" s="175">
        <v>-5.0000000000000001E-3</v>
      </c>
      <c r="I19" s="175">
        <v>-0.01</v>
      </c>
      <c r="J19" s="175">
        <v>-0.01</v>
      </c>
    </row>
    <row r="20" spans="5:10">
      <c r="E20" s="164" t="s">
        <v>194</v>
      </c>
      <c r="F20" s="176">
        <v>22</v>
      </c>
      <c r="G20" s="176">
        <v>21</v>
      </c>
      <c r="H20" s="176">
        <v>20</v>
      </c>
      <c r="I20" s="176">
        <v>19</v>
      </c>
      <c r="J20" s="176">
        <v>18</v>
      </c>
    </row>
    <row r="21" spans="5:10">
      <c r="E21" s="164" t="s">
        <v>195</v>
      </c>
      <c r="F21" s="176">
        <v>6</v>
      </c>
      <c r="G21" s="176">
        <v>6</v>
      </c>
      <c r="H21" s="176">
        <v>6</v>
      </c>
      <c r="I21" s="176">
        <v>6</v>
      </c>
      <c r="J21" s="176">
        <v>6</v>
      </c>
    </row>
    <row r="22" spans="5:10">
      <c r="E22" s="164" t="s">
        <v>196</v>
      </c>
      <c r="F22" s="176">
        <v>60</v>
      </c>
      <c r="G22" s="176">
        <v>60</v>
      </c>
      <c r="H22" s="176">
        <v>60</v>
      </c>
      <c r="I22" s="176">
        <v>60</v>
      </c>
      <c r="J22" s="176">
        <v>60</v>
      </c>
    </row>
    <row r="23" spans="5:10">
      <c r="E23" s="164" t="s">
        <v>197</v>
      </c>
      <c r="F23" s="177">
        <v>-180</v>
      </c>
      <c r="G23" s="177">
        <v>-170</v>
      </c>
      <c r="H23" s="177">
        <v>-150</v>
      </c>
      <c r="I23" s="177">
        <v>-130</v>
      </c>
      <c r="J23" s="177">
        <v>-120</v>
      </c>
    </row>
    <row r="24" spans="5:10">
      <c r="E24" s="164" t="s">
        <v>218</v>
      </c>
      <c r="F24" s="176">
        <v>1200</v>
      </c>
      <c r="G24" s="176">
        <v>1200</v>
      </c>
      <c r="H24" s="176">
        <v>1200</v>
      </c>
      <c r="I24" s="176">
        <v>1200</v>
      </c>
      <c r="J24" s="176">
        <v>1200</v>
      </c>
    </row>
    <row r="25" spans="5:10">
      <c r="E25" s="164" t="s">
        <v>220</v>
      </c>
      <c r="F25" s="176">
        <v>900</v>
      </c>
      <c r="G25" s="176">
        <v>900</v>
      </c>
      <c r="H25" s="176">
        <v>875</v>
      </c>
      <c r="I25" s="176">
        <v>875</v>
      </c>
      <c r="J25" s="176">
        <v>850</v>
      </c>
    </row>
    <row r="26" spans="5:10">
      <c r="E26" s="164" t="s">
        <v>244</v>
      </c>
      <c r="F26" s="176">
        <v>450</v>
      </c>
      <c r="G26" s="176">
        <v>500</v>
      </c>
      <c r="H26" s="176">
        <v>525</v>
      </c>
      <c r="I26" s="176">
        <v>550</v>
      </c>
      <c r="J26" s="176">
        <v>575</v>
      </c>
    </row>
    <row r="27" spans="5:10">
      <c r="E27" s="164" t="s">
        <v>249</v>
      </c>
      <c r="F27" s="175">
        <v>0.32</v>
      </c>
      <c r="G27" s="175">
        <v>0.32</v>
      </c>
      <c r="H27" s="175">
        <v>0.32</v>
      </c>
      <c r="I27" s="175">
        <v>0.32</v>
      </c>
      <c r="J27" s="175">
        <v>0.32</v>
      </c>
    </row>
    <row r="28" spans="5:10">
      <c r="F28" s="178"/>
      <c r="G28" s="178"/>
      <c r="H28" s="178"/>
      <c r="I28" s="178"/>
      <c r="J28" s="178"/>
    </row>
    <row r="29" spans="5:10">
      <c r="E29" s="22" t="s">
        <v>332</v>
      </c>
      <c r="F29" s="178"/>
      <c r="G29" s="178"/>
      <c r="H29" s="178"/>
      <c r="I29" s="178"/>
      <c r="J29" s="178"/>
    </row>
    <row r="30" spans="5:10">
      <c r="E30" s="164" t="s">
        <v>8</v>
      </c>
      <c r="F30" s="174">
        <v>-0.105</v>
      </c>
      <c r="G30" s="174">
        <v>0.02</v>
      </c>
      <c r="H30" s="174">
        <v>2.1999999999999999E-2</v>
      </c>
      <c r="I30" s="174">
        <v>2.3E-2</v>
      </c>
      <c r="J30" s="174">
        <v>2.5000000000000001E-2</v>
      </c>
    </row>
    <row r="31" spans="5:10">
      <c r="E31" s="164" t="s">
        <v>190</v>
      </c>
      <c r="F31" s="174">
        <v>0.93</v>
      </c>
      <c r="G31" s="174">
        <v>0.92700000000000005</v>
      </c>
      <c r="H31" s="174">
        <v>0.92500000000000004</v>
      </c>
      <c r="I31" s="174">
        <v>0.92300000000000004</v>
      </c>
      <c r="J31" s="174">
        <v>0.92100000000000004</v>
      </c>
    </row>
    <row r="32" spans="5:10">
      <c r="E32" s="164" t="s">
        <v>191</v>
      </c>
      <c r="F32" s="175">
        <v>-0.03</v>
      </c>
      <c r="G32" s="175">
        <v>-0.03</v>
      </c>
      <c r="H32" s="175">
        <v>-2.5000000000000001E-2</v>
      </c>
      <c r="I32" s="175">
        <v>-2.5000000000000001E-2</v>
      </c>
      <c r="J32" s="175">
        <v>-0.02</v>
      </c>
    </row>
    <row r="33" spans="5:11">
      <c r="E33" s="164" t="s">
        <v>194</v>
      </c>
      <c r="F33" s="176">
        <v>18</v>
      </c>
      <c r="G33" s="176">
        <v>16</v>
      </c>
      <c r="H33" s="176">
        <v>15</v>
      </c>
      <c r="I33" s="176">
        <v>14.5</v>
      </c>
      <c r="J33" s="176">
        <v>14</v>
      </c>
    </row>
    <row r="34" spans="5:11">
      <c r="E34" s="164" t="s">
        <v>195</v>
      </c>
      <c r="F34" s="176">
        <v>4.5</v>
      </c>
      <c r="G34" s="176">
        <v>4.5</v>
      </c>
      <c r="H34" s="176">
        <v>4.5</v>
      </c>
      <c r="I34" s="176">
        <v>4.5</v>
      </c>
      <c r="J34" s="176">
        <v>4.5</v>
      </c>
    </row>
    <row r="35" spans="5:11">
      <c r="E35" s="164" t="s">
        <v>196</v>
      </c>
      <c r="F35" s="176">
        <v>65</v>
      </c>
      <c r="G35" s="176">
        <v>65</v>
      </c>
      <c r="H35" s="176">
        <v>65</v>
      </c>
      <c r="I35" s="176">
        <v>65</v>
      </c>
      <c r="J35" s="176">
        <v>65</v>
      </c>
    </row>
    <row r="36" spans="5:11">
      <c r="E36" s="164" t="s">
        <v>197</v>
      </c>
      <c r="F36" s="177">
        <v>-100</v>
      </c>
      <c r="G36" s="177">
        <v>-90</v>
      </c>
      <c r="H36" s="177">
        <v>-80</v>
      </c>
      <c r="I36" s="177">
        <v>-80</v>
      </c>
      <c r="J36" s="177">
        <v>-80</v>
      </c>
    </row>
    <row r="37" spans="5:11">
      <c r="E37" s="164" t="s">
        <v>218</v>
      </c>
      <c r="F37" s="176">
        <v>1200</v>
      </c>
      <c r="G37" s="176">
        <v>1200</v>
      </c>
      <c r="H37" s="176">
        <v>1200</v>
      </c>
      <c r="I37" s="176">
        <v>1200</v>
      </c>
      <c r="J37" s="176">
        <v>1200</v>
      </c>
    </row>
    <row r="38" spans="5:11">
      <c r="E38" s="164" t="s">
        <v>220</v>
      </c>
      <c r="F38" s="176">
        <v>800</v>
      </c>
      <c r="G38" s="176">
        <v>800</v>
      </c>
      <c r="H38" s="176">
        <v>800</v>
      </c>
      <c r="I38" s="176">
        <v>800</v>
      </c>
      <c r="J38" s="176">
        <v>800</v>
      </c>
    </row>
    <row r="39" spans="5:11">
      <c r="E39" s="164" t="s">
        <v>244</v>
      </c>
      <c r="F39" s="176">
        <v>650</v>
      </c>
      <c r="G39" s="176">
        <v>650</v>
      </c>
      <c r="H39" s="176">
        <v>700</v>
      </c>
      <c r="I39" s="176">
        <v>750</v>
      </c>
      <c r="J39" s="176">
        <v>800</v>
      </c>
    </row>
    <row r="40" spans="5:11">
      <c r="E40" s="164" t="s">
        <v>249</v>
      </c>
      <c r="F40" s="175">
        <v>0.32</v>
      </c>
      <c r="G40" s="175">
        <v>0.32</v>
      </c>
      <c r="H40" s="175">
        <v>0.32</v>
      </c>
      <c r="I40" s="175">
        <v>0.32</v>
      </c>
      <c r="J40" s="175">
        <v>0.32</v>
      </c>
    </row>
    <row r="44" spans="5:11" ht="25">
      <c r="E44" s="22" t="s">
        <v>329</v>
      </c>
      <c r="K44" s="169" t="s">
        <v>189</v>
      </c>
    </row>
    <row r="45" spans="5:11" ht="153">
      <c r="E45" s="168" t="s">
        <v>8</v>
      </c>
      <c r="F45" s="165">
        <f>CHOOSE(Historical!$I$3,Assumptions!F3,Assumptions!F17,Assumptions!F30)</f>
        <v>-0.12</v>
      </c>
      <c r="G45" s="165">
        <f>CHOOSE(Historical!$I$3,Assumptions!G3,Assumptions!G17,Assumptions!G30)</f>
        <v>1.2E-2</v>
      </c>
      <c r="H45" s="165">
        <f>CHOOSE(Historical!$I$3,Assumptions!H3,Assumptions!H17,Assumptions!H30)</f>
        <v>1.2E-2</v>
      </c>
      <c r="I45" s="165">
        <f>CHOOSE(Historical!$I$3,Assumptions!I3,Assumptions!I17,Assumptions!I30)</f>
        <v>1.2E-2</v>
      </c>
      <c r="J45" s="165">
        <f>CHOOSE(Historical!$I$3,Assumptions!J3,Assumptions!J17,Assumptions!J30)</f>
        <v>1.4E-2</v>
      </c>
      <c r="K45" s="170" t="s">
        <v>326</v>
      </c>
    </row>
    <row r="46" spans="5:11" ht="85">
      <c r="E46" s="168" t="s">
        <v>190</v>
      </c>
      <c r="F46" s="165">
        <f>CHOOSE(Historical!$I$3,Assumptions!F4,Assumptions!F18,Assumptions!F31)</f>
        <v>0.93400000000000005</v>
      </c>
      <c r="G46" s="165">
        <f>CHOOSE(Historical!$I$3,Assumptions!G4,Assumptions!G18,Assumptions!G31)</f>
        <v>0.9325</v>
      </c>
      <c r="H46" s="165">
        <f>CHOOSE(Historical!$I$3,Assumptions!H4,Assumptions!H18,Assumptions!H31)</f>
        <v>0.93100000000000005</v>
      </c>
      <c r="I46" s="165">
        <f>CHOOSE(Historical!$I$3,Assumptions!I4,Assumptions!I18,Assumptions!I31)</f>
        <v>0.93</v>
      </c>
      <c r="J46" s="165">
        <f>CHOOSE(Historical!$I$3,Assumptions!J4,Assumptions!J18,Assumptions!J31)</f>
        <v>0.92800000000000005</v>
      </c>
      <c r="K46" s="170" t="s">
        <v>192</v>
      </c>
    </row>
    <row r="47" spans="5:11" ht="187">
      <c r="E47" s="168" t="s">
        <v>191</v>
      </c>
      <c r="F47" s="166">
        <f>CHOOSE(Historical!$I$3,Assumptions!F5,Assumptions!F19,Assumptions!F32)</f>
        <v>-1.7999999999999999E-2</v>
      </c>
      <c r="G47" s="166">
        <f>CHOOSE(Historical!$I$3,Assumptions!G5,Assumptions!G19,Assumptions!G32)</f>
        <v>-1.7999999999999999E-2</v>
      </c>
      <c r="H47" s="166">
        <f>CHOOSE(Historical!$I$3,Assumptions!H5,Assumptions!H19,Assumptions!H32)</f>
        <v>-1.7999999999999999E-2</v>
      </c>
      <c r="I47" s="166">
        <f>CHOOSE(Historical!$I$3,Assumptions!I5,Assumptions!I19,Assumptions!I32)</f>
        <v>-1.4999999999999999E-2</v>
      </c>
      <c r="J47" s="166">
        <f>CHOOSE(Historical!$I$3,Assumptions!J5,Assumptions!J19,Assumptions!J32)</f>
        <v>-1.4999999999999999E-2</v>
      </c>
      <c r="K47" s="170" t="s">
        <v>193</v>
      </c>
    </row>
    <row r="48" spans="5:11" ht="68">
      <c r="E48" s="168" t="s">
        <v>194</v>
      </c>
      <c r="F48" s="164">
        <f>CHOOSE(Historical!$I$3,Assumptions!F6,Assumptions!F20,Assumptions!F33)</f>
        <v>20</v>
      </c>
      <c r="G48" s="164">
        <f>CHOOSE(Historical!$I$3,Assumptions!G6,Assumptions!G20,Assumptions!G33)</f>
        <v>18</v>
      </c>
      <c r="H48" s="164">
        <f>CHOOSE(Historical!$I$3,Assumptions!H6,Assumptions!H20,Assumptions!H33)</f>
        <v>16</v>
      </c>
      <c r="I48" s="164">
        <f>CHOOSE(Historical!$I$3,Assumptions!I6,Assumptions!I20,Assumptions!I33)</f>
        <v>15.5</v>
      </c>
      <c r="J48" s="164">
        <f>CHOOSE(Historical!$I$3,Assumptions!J6,Assumptions!J20,Assumptions!J33)</f>
        <v>15</v>
      </c>
      <c r="K48" s="170" t="s">
        <v>198</v>
      </c>
    </row>
    <row r="49" spans="5:11">
      <c r="E49" s="168" t="s">
        <v>195</v>
      </c>
      <c r="F49" s="164">
        <f>CHOOSE(Historical!$I$3,Assumptions!F7,Assumptions!F21,Assumptions!F34)</f>
        <v>5</v>
      </c>
      <c r="G49" s="164">
        <f>CHOOSE(Historical!$I$3,Assumptions!G7,Assumptions!G21,Assumptions!G34)</f>
        <v>5</v>
      </c>
      <c r="H49" s="164">
        <f>CHOOSE(Historical!$I$3,Assumptions!H7,Assumptions!H21,Assumptions!H34)</f>
        <v>5</v>
      </c>
      <c r="I49" s="164">
        <f>CHOOSE(Historical!$I$3,Assumptions!I7,Assumptions!I21,Assumptions!I34)</f>
        <v>5</v>
      </c>
      <c r="J49" s="164">
        <f>CHOOSE(Historical!$I$3,Assumptions!J7,Assumptions!J21,Assumptions!J34)</f>
        <v>5</v>
      </c>
      <c r="K49" s="171" t="s">
        <v>199</v>
      </c>
    </row>
    <row r="50" spans="5:11" ht="34">
      <c r="E50" s="168" t="s">
        <v>196</v>
      </c>
      <c r="F50" s="164">
        <f>CHOOSE(Historical!$I$3,Assumptions!F8,Assumptions!F22,Assumptions!F35)</f>
        <v>64</v>
      </c>
      <c r="G50" s="164">
        <f>CHOOSE(Historical!$I$3,Assumptions!G8,Assumptions!G22,Assumptions!G35)</f>
        <v>64</v>
      </c>
      <c r="H50" s="164">
        <f>CHOOSE(Historical!$I$3,Assumptions!H8,Assumptions!H22,Assumptions!H35)</f>
        <v>64</v>
      </c>
      <c r="I50" s="164">
        <f>CHOOSE(Historical!$I$3,Assumptions!I8,Assumptions!I22,Assumptions!I35)</f>
        <v>64</v>
      </c>
      <c r="J50" s="164">
        <f>CHOOSE(Historical!$I$3,Assumptions!J8,Assumptions!J22,Assumptions!J35)</f>
        <v>64</v>
      </c>
      <c r="K50" s="170" t="s">
        <v>200</v>
      </c>
    </row>
    <row r="51" spans="5:11">
      <c r="E51" s="168" t="s">
        <v>197</v>
      </c>
      <c r="F51" s="167">
        <f>CHOOSE(Historical!$I$3,Assumptions!F9,Assumptions!F23,Assumptions!F36)</f>
        <v>-130</v>
      </c>
      <c r="G51" s="167">
        <f>CHOOSE(Historical!$I$3,Assumptions!G9,Assumptions!G23,Assumptions!G36)</f>
        <v>-120</v>
      </c>
      <c r="H51" s="167">
        <f>CHOOSE(Historical!$I$3,Assumptions!H9,Assumptions!H23,Assumptions!H36)</f>
        <v>-110</v>
      </c>
      <c r="I51" s="167">
        <f>CHOOSE(Historical!$I$3,Assumptions!I9,Assumptions!I23,Assumptions!I36)</f>
        <v>-110</v>
      </c>
      <c r="J51" s="167">
        <f>CHOOSE(Historical!$I$3,Assumptions!J9,Assumptions!J23,Assumptions!J36)</f>
        <v>-110</v>
      </c>
      <c r="K51" s="171" t="s">
        <v>201</v>
      </c>
    </row>
    <row r="52" spans="5:11">
      <c r="E52" s="168" t="s">
        <v>218</v>
      </c>
      <c r="F52" s="164">
        <f>CHOOSE(Historical!$I$3,Assumptions!F10,Assumptions!F24,Assumptions!F37)</f>
        <v>1200</v>
      </c>
      <c r="G52" s="164">
        <f>CHOOSE(Historical!$I$3,Assumptions!G10,Assumptions!G24,Assumptions!G37)</f>
        <v>1200</v>
      </c>
      <c r="H52" s="164">
        <f>CHOOSE(Historical!$I$3,Assumptions!H10,Assumptions!H24,Assumptions!H37)</f>
        <v>1200</v>
      </c>
      <c r="I52" s="164">
        <f>CHOOSE(Historical!$I$3,Assumptions!I10,Assumptions!I24,Assumptions!I37)</f>
        <v>1200</v>
      </c>
      <c r="J52" s="164">
        <f>CHOOSE(Historical!$I$3,Assumptions!J10,Assumptions!J24,Assumptions!J37)</f>
        <v>1200</v>
      </c>
      <c r="K52" s="171" t="s">
        <v>219</v>
      </c>
    </row>
    <row r="53" spans="5:11" ht="34">
      <c r="E53" s="168" t="s">
        <v>220</v>
      </c>
      <c r="F53" s="164">
        <f>CHOOSE(Historical!$I$3,Assumptions!F11,Assumptions!F25,Assumptions!F38)</f>
        <v>825</v>
      </c>
      <c r="G53" s="164">
        <f>CHOOSE(Historical!$I$3,Assumptions!G11,Assumptions!G25,Assumptions!G38)</f>
        <v>825</v>
      </c>
      <c r="H53" s="164">
        <f>CHOOSE(Historical!$I$3,Assumptions!H11,Assumptions!H25,Assumptions!H38)</f>
        <v>825</v>
      </c>
      <c r="I53" s="164">
        <f>CHOOSE(Historical!$I$3,Assumptions!I11,Assumptions!I25,Assumptions!I38)</f>
        <v>825</v>
      </c>
      <c r="J53" s="164">
        <f>CHOOSE(Historical!$I$3,Assumptions!J11,Assumptions!J25,Assumptions!J38)</f>
        <v>825</v>
      </c>
      <c r="K53" s="170" t="s">
        <v>221</v>
      </c>
    </row>
    <row r="54" spans="5:11">
      <c r="E54" s="168" t="s">
        <v>244</v>
      </c>
      <c r="F54" s="164">
        <f>CHOOSE(Historical!$I$3,Assumptions!F12,Assumptions!F26,Assumptions!F39)</f>
        <v>600</v>
      </c>
      <c r="G54" s="164">
        <f>CHOOSE(Historical!$I$3,Assumptions!G12,Assumptions!G26,Assumptions!G39)</f>
        <v>600</v>
      </c>
      <c r="H54" s="164">
        <f>CHOOSE(Historical!$I$3,Assumptions!H12,Assumptions!H26,Assumptions!H39)</f>
        <v>600</v>
      </c>
      <c r="I54" s="164">
        <f>CHOOSE(Historical!$I$3,Assumptions!I12,Assumptions!I26,Assumptions!I39)</f>
        <v>680</v>
      </c>
      <c r="J54" s="164">
        <f>CHOOSE(Historical!$I$3,Assumptions!J12,Assumptions!J26,Assumptions!J39)</f>
        <v>730</v>
      </c>
      <c r="K54" s="171" t="s">
        <v>245</v>
      </c>
    </row>
    <row r="55" spans="5:11">
      <c r="E55" s="168" t="s">
        <v>249</v>
      </c>
      <c r="F55" s="166">
        <f>CHOOSE(Historical!$I$3,Assumptions!F13,Assumptions!F27,Assumptions!F40)</f>
        <v>0.32</v>
      </c>
      <c r="G55" s="166">
        <f>CHOOSE(Historical!$I$3,Assumptions!G13,Assumptions!G27,Assumptions!G40)</f>
        <v>0.32</v>
      </c>
      <c r="H55" s="166">
        <f>CHOOSE(Historical!$I$3,Assumptions!H13,Assumptions!H27,Assumptions!H40)</f>
        <v>0.32</v>
      </c>
      <c r="I55" s="166">
        <f>CHOOSE(Historical!$I$3,Assumptions!I13,Assumptions!I27,Assumptions!I40)</f>
        <v>0.32</v>
      </c>
      <c r="J55" s="166">
        <f>CHOOSE(Historical!$I$3,Assumptions!J13,Assumptions!J27,Assumptions!J40)</f>
        <v>0.32</v>
      </c>
      <c r="K55" s="171"/>
    </row>
    <row r="56" spans="5:11">
      <c r="E56" s="168" t="s">
        <v>328</v>
      </c>
      <c r="F56" s="164">
        <f>CHOOSE(Historical!$I$3,Assumptions!F14,Assumptions!F28,Assumptions!F41)</f>
        <v>1200</v>
      </c>
      <c r="G56" s="164">
        <f>CHOOSE(Historical!$I$3,Assumptions!G14,Assumptions!G28,Assumptions!G41)</f>
        <v>1200</v>
      </c>
      <c r="H56" s="164">
        <f>CHOOSE(Historical!$I$3,Assumptions!H14,Assumptions!H28,Assumptions!H41)</f>
        <v>1200</v>
      </c>
      <c r="I56" s="164">
        <f>CHOOSE(Historical!$I$3,Assumptions!I14,Assumptions!I28,Assumptions!I41)</f>
        <v>1200</v>
      </c>
      <c r="J56" s="164">
        <f>CHOOSE(Historical!$I$3,Assumptions!J14,Assumptions!J28,Assumptions!J41)</f>
        <v>1200</v>
      </c>
      <c r="K56" s="164"/>
    </row>
  </sheetData>
  <mergeCells count="1">
    <mergeCell ref="B3:C3"/>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39B5F72-2830-2742-8F73-70084C951106}">
  <dimension ref="A1:AA120"/>
  <sheetViews>
    <sheetView showGridLines="0" topLeftCell="A31" workbookViewId="0">
      <selection activeCell="D61" sqref="D61"/>
    </sheetView>
  </sheetViews>
  <sheetFormatPr baseColWidth="10" defaultRowHeight="14"/>
  <cols>
    <col min="1" max="1" width="5.33203125" style="4" customWidth="1"/>
    <col min="2" max="2" width="14.5" style="4" bestFit="1" customWidth="1"/>
    <col min="3" max="3" width="9.5" style="4" customWidth="1"/>
    <col min="4" max="4" width="11.6640625" style="4" bestFit="1" customWidth="1"/>
    <col min="5" max="5" width="7" style="4" customWidth="1"/>
    <col min="6" max="6" width="11.1640625" style="4" bestFit="1" customWidth="1"/>
    <col min="7" max="7" width="17.33203125" style="4" customWidth="1"/>
    <col min="8" max="8" width="10.83203125" style="4"/>
    <col min="9" max="9" width="11.5" style="4" bestFit="1" customWidth="1"/>
    <col min="10" max="13" width="10.83203125" style="4"/>
    <col min="14" max="15" width="14" style="4" bestFit="1" customWidth="1"/>
    <col min="16" max="16384" width="10.83203125" style="4"/>
  </cols>
  <sheetData>
    <row r="1" spans="1:14">
      <c r="A1" s="207"/>
      <c r="B1" s="207"/>
      <c r="C1" s="207"/>
      <c r="D1" s="207"/>
      <c r="E1" s="207"/>
      <c r="F1" s="207"/>
      <c r="G1" s="207"/>
      <c r="H1" s="207"/>
      <c r="I1" s="207"/>
      <c r="J1" s="207"/>
      <c r="K1" s="207"/>
      <c r="L1" s="207"/>
      <c r="M1" s="207"/>
      <c r="N1" s="207"/>
    </row>
    <row r="2" spans="1:14" ht="17" customHeight="1"/>
    <row r="3" spans="1:14" ht="15" thickBot="1">
      <c r="B3" s="143"/>
      <c r="C3" s="143"/>
      <c r="D3" s="143"/>
      <c r="E3" s="144"/>
      <c r="F3" s="145" t="s">
        <v>250</v>
      </c>
      <c r="G3" s="145" t="s">
        <v>317</v>
      </c>
      <c r="H3" s="145" t="s">
        <v>251</v>
      </c>
      <c r="I3" s="146" t="s">
        <v>252</v>
      </c>
      <c r="J3" s="146" t="s">
        <v>253</v>
      </c>
      <c r="K3" s="146" t="s">
        <v>254</v>
      </c>
      <c r="L3" s="146" t="s">
        <v>255</v>
      </c>
      <c r="M3" s="146" t="s">
        <v>256</v>
      </c>
      <c r="N3" s="147" t="s">
        <v>257</v>
      </c>
    </row>
    <row r="4" spans="1:14">
      <c r="N4" s="74"/>
    </row>
    <row r="5" spans="1:14">
      <c r="B5" s="4" t="s">
        <v>258</v>
      </c>
      <c r="F5" s="75"/>
      <c r="G5" s="76">
        <f t="shared" ref="G5:M5" si="0">G11/F11-1</f>
        <v>1.656430299646372E-2</v>
      </c>
      <c r="H5" s="76">
        <f t="shared" si="0"/>
        <v>2.669962162821915E-2</v>
      </c>
      <c r="I5" s="76">
        <f t="shared" si="0"/>
        <v>-0.12</v>
      </c>
      <c r="J5" s="76">
        <f t="shared" si="0"/>
        <v>1.2000000000000011E-2</v>
      </c>
      <c r="K5" s="76">
        <f t="shared" si="0"/>
        <v>1.2000000000000011E-2</v>
      </c>
      <c r="L5" s="76">
        <f t="shared" si="0"/>
        <v>1.2000000000000011E-2</v>
      </c>
      <c r="M5" s="76">
        <f t="shared" si="0"/>
        <v>1.4000000000000012E-2</v>
      </c>
      <c r="N5" s="77">
        <v>0.02</v>
      </c>
    </row>
    <row r="6" spans="1:14">
      <c r="B6" s="4" t="s">
        <v>259</v>
      </c>
      <c r="C6" s="4" t="s">
        <v>260</v>
      </c>
      <c r="F6" s="76">
        <f t="shared" ref="F6:M6" si="1">-F12/F11</f>
        <v>0.93516967553818475</v>
      </c>
      <c r="G6" s="76">
        <f t="shared" si="1"/>
        <v>0.9333882582692542</v>
      </c>
      <c r="H6" s="76">
        <f t="shared" si="1"/>
        <v>0.93443694831634316</v>
      </c>
      <c r="I6" s="76">
        <f t="shared" si="1"/>
        <v>0.93400000000000005</v>
      </c>
      <c r="J6" s="76">
        <f t="shared" si="1"/>
        <v>0.9325</v>
      </c>
      <c r="K6" s="76">
        <f t="shared" si="1"/>
        <v>0.93100000000000005</v>
      </c>
      <c r="L6" s="76">
        <f t="shared" si="1"/>
        <v>0.93</v>
      </c>
      <c r="M6" s="76">
        <f t="shared" si="1"/>
        <v>0.92800000000000005</v>
      </c>
      <c r="N6" s="77">
        <v>0.92800000000000005</v>
      </c>
    </row>
    <row r="7" spans="1:14">
      <c r="B7" s="4" t="s">
        <v>261</v>
      </c>
      <c r="C7" s="4" t="s">
        <v>260</v>
      </c>
      <c r="F7" s="76">
        <f t="shared" ref="F7:M7" si="2">F15/F11</f>
        <v>4.1751969725169057E-2</v>
      </c>
      <c r="G7" s="76">
        <f t="shared" si="2"/>
        <v>3.9454412303185644E-2</v>
      </c>
      <c r="H7" s="76">
        <f t="shared" si="2"/>
        <v>3.8903914167682109E-2</v>
      </c>
      <c r="I7" s="76">
        <f t="shared" si="2"/>
        <v>4.3340866987105875E-2</v>
      </c>
      <c r="J7" s="76">
        <f t="shared" si="2"/>
        <v>4.1732002998626845E-2</v>
      </c>
      <c r="K7" s="76">
        <f t="shared" si="2"/>
        <v>4.0629028582844069E-2</v>
      </c>
      <c r="L7" s="76">
        <f t="shared" si="2"/>
        <v>3.9468817658457792E-2</v>
      </c>
      <c r="M7" s="76">
        <f t="shared" si="2"/>
        <v>3.8260099036834257E-2</v>
      </c>
      <c r="N7" s="77">
        <v>3.5000000000000003E-2</v>
      </c>
    </row>
    <row r="8" spans="1:14">
      <c r="F8" s="75"/>
      <c r="G8" s="75"/>
      <c r="H8" s="75"/>
      <c r="I8" s="75"/>
      <c r="J8" s="75"/>
      <c r="K8" s="75"/>
      <c r="L8" s="75"/>
      <c r="M8" s="75"/>
      <c r="N8" s="78"/>
    </row>
    <row r="9" spans="1:14">
      <c r="B9" s="4" t="s">
        <v>262</v>
      </c>
      <c r="F9" s="75"/>
      <c r="G9" s="76">
        <f t="shared" ref="G9:M9" si="3">G18/F18-1</f>
        <v>4.5546558704453455E-2</v>
      </c>
      <c r="H9" s="76">
        <f t="shared" si="3"/>
        <v>5.8083252662148865E-3</v>
      </c>
      <c r="I9" s="76">
        <f t="shared" si="3"/>
        <v>-1.8286814244465877E-2</v>
      </c>
      <c r="J9" s="76">
        <f t="shared" si="3"/>
        <v>0</v>
      </c>
      <c r="K9" s="76">
        <f t="shared" si="3"/>
        <v>0</v>
      </c>
      <c r="L9" s="76">
        <f t="shared" si="3"/>
        <v>0</v>
      </c>
      <c r="M9" s="76">
        <f t="shared" si="3"/>
        <v>0</v>
      </c>
      <c r="N9" s="77">
        <v>0</v>
      </c>
    </row>
    <row r="10" spans="1:14">
      <c r="F10" s="75"/>
      <c r="G10" s="75"/>
      <c r="H10" s="75"/>
      <c r="I10" s="75"/>
      <c r="J10" s="75"/>
      <c r="K10" s="75"/>
      <c r="L10" s="75"/>
      <c r="M10" s="75"/>
      <c r="N10" s="78"/>
    </row>
    <row r="11" spans="1:14">
      <c r="B11" s="4" t="s">
        <v>8</v>
      </c>
      <c r="F11" s="75">
        <f>Historical!F7</f>
        <v>32238</v>
      </c>
      <c r="G11" s="75">
        <f>Historical!G7</f>
        <v>32772</v>
      </c>
      <c r="H11" s="75">
        <f>Historical!H7</f>
        <v>33647</v>
      </c>
      <c r="I11" s="75">
        <f>Historical!I7</f>
        <v>29609.360000000001</v>
      </c>
      <c r="J11" s="75">
        <f>Historical!J7</f>
        <v>29964.672320000001</v>
      </c>
      <c r="K11" s="75">
        <f>Historical!K7</f>
        <v>30324.248387840002</v>
      </c>
      <c r="L11" s="75">
        <f>Historical!L7</f>
        <v>30688.139368494081</v>
      </c>
      <c r="M11" s="75">
        <f>Historical!M7</f>
        <v>31117.773319652999</v>
      </c>
      <c r="N11" s="78">
        <f>M11*(1+N5)</f>
        <v>31740.128786046058</v>
      </c>
    </row>
    <row r="12" spans="1:14">
      <c r="B12" s="4" t="s">
        <v>259</v>
      </c>
      <c r="F12" s="75">
        <f>Historical!F9</f>
        <v>-30148</v>
      </c>
      <c r="G12" s="75">
        <f>Historical!G9</f>
        <v>-30589</v>
      </c>
      <c r="H12" s="75">
        <f>Historical!H9</f>
        <v>-31441</v>
      </c>
      <c r="I12" s="75">
        <f>Historical!I9</f>
        <v>-27655.142240000001</v>
      </c>
      <c r="J12" s="75">
        <f>Historical!J9</f>
        <v>-27942.056938400001</v>
      </c>
      <c r="K12" s="75">
        <f>Historical!K9</f>
        <v>-28231.875249079043</v>
      </c>
      <c r="L12" s="75">
        <f>Historical!L9</f>
        <v>-28539.969612699497</v>
      </c>
      <c r="M12" s="75">
        <f>Historical!M9</f>
        <v>-28877.293640637985</v>
      </c>
      <c r="N12" s="78">
        <f>-N11*N6</f>
        <v>-29454.839513450745</v>
      </c>
    </row>
    <row r="13" spans="1:14">
      <c r="B13" s="4" t="s">
        <v>263</v>
      </c>
      <c r="F13" s="79">
        <f>F11+F12</f>
        <v>2090</v>
      </c>
      <c r="G13" s="79">
        <f t="shared" ref="G13:N13" si="4">G11+G12</f>
        <v>2183</v>
      </c>
      <c r="H13" s="79">
        <f t="shared" si="4"/>
        <v>2206</v>
      </c>
      <c r="I13" s="79">
        <f t="shared" si="4"/>
        <v>1954.2177599999995</v>
      </c>
      <c r="J13" s="79">
        <f t="shared" si="4"/>
        <v>2022.6153816000005</v>
      </c>
      <c r="K13" s="79">
        <f t="shared" si="4"/>
        <v>2092.3731387609587</v>
      </c>
      <c r="L13" s="79">
        <f t="shared" si="4"/>
        <v>2148.1697557945845</v>
      </c>
      <c r="M13" s="79">
        <f t="shared" si="4"/>
        <v>2240.479679015014</v>
      </c>
      <c r="N13" s="80">
        <f t="shared" si="4"/>
        <v>2285.2892725953134</v>
      </c>
    </row>
    <row r="14" spans="1:14">
      <c r="F14" s="75"/>
      <c r="G14" s="75"/>
      <c r="H14" s="75"/>
      <c r="I14" s="75"/>
      <c r="J14" s="75"/>
      <c r="K14" s="75"/>
      <c r="L14" s="75"/>
      <c r="M14" s="75"/>
      <c r="N14" s="78"/>
    </row>
    <row r="15" spans="1:14">
      <c r="B15" s="4" t="s">
        <v>261</v>
      </c>
      <c r="F15" s="75">
        <f>-SUM(Historical!F13:F14)</f>
        <v>1346</v>
      </c>
      <c r="G15" s="75">
        <f>-SUM(Historical!G13:G14)</f>
        <v>1293</v>
      </c>
      <c r="H15" s="75">
        <f>-SUM(Historical!H13:H14)</f>
        <v>1309</v>
      </c>
      <c r="I15" s="75">
        <f>-SUM(Historical!I13:I14)</f>
        <v>1283.2953333333332</v>
      </c>
      <c r="J15" s="75">
        <f>-SUM(Historical!J13:J14)</f>
        <v>1250.485795111111</v>
      </c>
      <c r="K15" s="75">
        <f>-SUM(Historical!K13:K14)</f>
        <v>1232.0447545028146</v>
      </c>
      <c r="L15" s="75">
        <f>-SUM(Historical!L13:L14)</f>
        <v>1211.224577012433</v>
      </c>
      <c r="M15" s="75">
        <f>-SUM(Historical!M13:M14)</f>
        <v>1190.5690890156825</v>
      </c>
      <c r="N15" s="78">
        <f>N11*N7</f>
        <v>1110.9045075116121</v>
      </c>
    </row>
    <row r="16" spans="1:14">
      <c r="B16" s="4" t="s">
        <v>264</v>
      </c>
      <c r="F16" s="79">
        <f>F13-F15</f>
        <v>744</v>
      </c>
      <c r="G16" s="79">
        <f t="shared" ref="G16:N16" si="5">G13-G15</f>
        <v>890</v>
      </c>
      <c r="H16" s="79">
        <f t="shared" si="5"/>
        <v>897</v>
      </c>
      <c r="I16" s="79">
        <f t="shared" si="5"/>
        <v>670.9224266666663</v>
      </c>
      <c r="J16" s="79">
        <f t="shared" si="5"/>
        <v>772.12958648888957</v>
      </c>
      <c r="K16" s="79">
        <f t="shared" si="5"/>
        <v>860.32838425814407</v>
      </c>
      <c r="L16" s="79">
        <f t="shared" si="5"/>
        <v>936.94517878215152</v>
      </c>
      <c r="M16" s="79">
        <f t="shared" si="5"/>
        <v>1049.9105899993315</v>
      </c>
      <c r="N16" s="80">
        <f t="shared" si="5"/>
        <v>1174.3847650837013</v>
      </c>
    </row>
    <row r="17" spans="2:14">
      <c r="F17" s="75"/>
      <c r="G17" s="75"/>
      <c r="H17" s="75"/>
      <c r="I17" s="75"/>
      <c r="J17" s="75"/>
      <c r="K17" s="75"/>
      <c r="L17" s="75"/>
      <c r="M17" s="75"/>
      <c r="N17" s="78"/>
    </row>
    <row r="18" spans="2:14">
      <c r="B18" s="4" t="s">
        <v>216</v>
      </c>
      <c r="F18" s="75">
        <f>'Supporting Schedules'!E75</f>
        <v>988</v>
      </c>
      <c r="G18" s="75">
        <f>'Supporting Schedules'!F75</f>
        <v>1033</v>
      </c>
      <c r="H18" s="75">
        <f>'Supporting Schedules'!G75</f>
        <v>1039</v>
      </c>
      <c r="I18" s="75">
        <f>'Supporting Schedules'!H75</f>
        <v>1020</v>
      </c>
      <c r="J18" s="75">
        <f>'Supporting Schedules'!I75</f>
        <v>1020</v>
      </c>
      <c r="K18" s="75">
        <f>'Supporting Schedules'!J75</f>
        <v>1020</v>
      </c>
      <c r="L18" s="75">
        <f>'Supporting Schedules'!K75</f>
        <v>1020</v>
      </c>
      <c r="M18" s="75">
        <f>'Supporting Schedules'!L75</f>
        <v>1020</v>
      </c>
      <c r="N18" s="78">
        <f>M18*(1+N9)</f>
        <v>1020</v>
      </c>
    </row>
    <row r="19" spans="2:14">
      <c r="B19" s="4" t="s">
        <v>117</v>
      </c>
      <c r="F19" s="79">
        <f>F16+F18</f>
        <v>1732</v>
      </c>
      <c r="G19" s="79">
        <f t="shared" ref="G19:M19" si="6">G16+G18</f>
        <v>1923</v>
      </c>
      <c r="H19" s="79">
        <f t="shared" si="6"/>
        <v>1936</v>
      </c>
      <c r="I19" s="79">
        <f t="shared" si="6"/>
        <v>1690.9224266666663</v>
      </c>
      <c r="J19" s="79">
        <f t="shared" si="6"/>
        <v>1792.1295864888896</v>
      </c>
      <c r="K19" s="79">
        <f t="shared" si="6"/>
        <v>1880.3283842581441</v>
      </c>
      <c r="L19" s="79">
        <f t="shared" si="6"/>
        <v>1956.9451787821515</v>
      </c>
      <c r="M19" s="79">
        <f t="shared" si="6"/>
        <v>2069.9105899993315</v>
      </c>
      <c r="N19" s="80">
        <f>N16+N18</f>
        <v>2194.3847650837015</v>
      </c>
    </row>
    <row r="20" spans="2:14">
      <c r="F20" s="75"/>
      <c r="G20" s="75"/>
      <c r="H20" s="75"/>
      <c r="I20" s="75"/>
      <c r="J20" s="75"/>
      <c r="K20" s="75"/>
      <c r="L20" s="75"/>
      <c r="M20" s="75"/>
      <c r="N20" s="78"/>
    </row>
    <row r="21" spans="2:14">
      <c r="B21" s="4" t="s">
        <v>249</v>
      </c>
      <c r="F21" s="81">
        <f>Historical!F22</f>
        <v>0.37014314928425357</v>
      </c>
      <c r="G21" s="81">
        <f>Historical!G22</f>
        <v>0.30642504118616143</v>
      </c>
      <c r="H21" s="81">
        <f>Historical!H22</f>
        <v>0.33117932148626816</v>
      </c>
      <c r="I21" s="81">
        <f>Historical!I22</f>
        <v>0.32</v>
      </c>
      <c r="J21" s="81">
        <f>Historical!J22</f>
        <v>0.32</v>
      </c>
      <c r="K21" s="81">
        <f>Historical!K22</f>
        <v>0.32</v>
      </c>
      <c r="L21" s="81">
        <f>Historical!L22</f>
        <v>0.32</v>
      </c>
      <c r="M21" s="81">
        <f>Historical!M22</f>
        <v>0.32</v>
      </c>
      <c r="N21" s="82">
        <v>0.32</v>
      </c>
    </row>
    <row r="22" spans="2:14">
      <c r="B22" s="4" t="s">
        <v>265</v>
      </c>
      <c r="F22" s="79">
        <f>-Historical!F20</f>
        <v>181</v>
      </c>
      <c r="G22" s="79">
        <f>-Historical!G20</f>
        <v>186</v>
      </c>
      <c r="H22" s="79">
        <f>-Historical!H20</f>
        <v>205</v>
      </c>
      <c r="I22" s="79">
        <f>-Historical!I20</f>
        <v>204.35514558241942</v>
      </c>
      <c r="J22" s="79">
        <f>-Historical!J20</f>
        <v>236.43476118755575</v>
      </c>
      <c r="K22" s="79">
        <f>-Historical!K20</f>
        <v>270.13759377742093</v>
      </c>
      <c r="L22" s="79">
        <f>-Historical!L20</f>
        <v>296.49732649937494</v>
      </c>
      <c r="M22" s="79">
        <f>-Historical!M20</f>
        <v>334.65034062900349</v>
      </c>
      <c r="N22" s="83">
        <f>N16*N21</f>
        <v>375.80312482678443</v>
      </c>
    </row>
    <row r="25" spans="2:14">
      <c r="B25" s="84"/>
      <c r="C25" s="84"/>
      <c r="D25" s="84"/>
      <c r="E25" s="84"/>
      <c r="F25" s="84"/>
      <c r="G25" s="84"/>
      <c r="H25" s="84"/>
      <c r="I25" s="84"/>
      <c r="J25" s="84"/>
      <c r="K25" s="84"/>
      <c r="L25" s="84"/>
      <c r="M25" s="84"/>
      <c r="N25" s="84"/>
    </row>
    <row r="27" spans="2:14" ht="23">
      <c r="B27" s="148" t="s">
        <v>266</v>
      </c>
      <c r="C27" s="149"/>
      <c r="D27" s="149"/>
      <c r="E27" s="149"/>
      <c r="F27" s="149"/>
      <c r="G27" s="149"/>
      <c r="H27" s="149"/>
      <c r="I27" s="149"/>
      <c r="J27" s="149"/>
      <c r="K27" s="149"/>
      <c r="L27" s="149"/>
      <c r="M27" s="149"/>
      <c r="N27" s="149"/>
    </row>
    <row r="30" spans="2:14" ht="15" thickBot="1">
      <c r="F30" s="85" t="s">
        <v>250</v>
      </c>
      <c r="G30" s="85" t="s">
        <v>317</v>
      </c>
      <c r="H30" s="85" t="s">
        <v>251</v>
      </c>
      <c r="I30" s="86" t="s">
        <v>252</v>
      </c>
      <c r="J30" s="86" t="s">
        <v>253</v>
      </c>
      <c r="K30" s="86" t="s">
        <v>254</v>
      </c>
      <c r="L30" s="86" t="s">
        <v>255</v>
      </c>
      <c r="M30" s="86" t="s">
        <v>256</v>
      </c>
      <c r="N30" s="87" t="s">
        <v>257</v>
      </c>
    </row>
    <row r="31" spans="2:14">
      <c r="B31" s="88" t="s">
        <v>267</v>
      </c>
      <c r="N31" s="74"/>
    </row>
    <row r="32" spans="2:14">
      <c r="B32" s="4" t="s">
        <v>264</v>
      </c>
      <c r="F32" s="75">
        <f>F16</f>
        <v>744</v>
      </c>
      <c r="G32" s="75">
        <f t="shared" ref="G32:M32" si="7">G16</f>
        <v>890</v>
      </c>
      <c r="H32" s="75">
        <f t="shared" si="7"/>
        <v>897</v>
      </c>
      <c r="I32" s="75">
        <f t="shared" si="7"/>
        <v>670.9224266666663</v>
      </c>
      <c r="J32" s="75">
        <f t="shared" si="7"/>
        <v>772.12958648888957</v>
      </c>
      <c r="K32" s="75">
        <f t="shared" si="7"/>
        <v>860.32838425814407</v>
      </c>
      <c r="L32" s="75">
        <f t="shared" si="7"/>
        <v>936.94517878215152</v>
      </c>
      <c r="M32" s="75">
        <f t="shared" si="7"/>
        <v>1049.9105899993315</v>
      </c>
      <c r="N32" s="78">
        <f>N16</f>
        <v>1174.3847650837013</v>
      </c>
    </row>
    <row r="33" spans="2:14">
      <c r="B33" s="4" t="s">
        <v>249</v>
      </c>
      <c r="F33" s="81">
        <f>F21</f>
        <v>0.37014314928425357</v>
      </c>
      <c r="G33" s="81">
        <f t="shared" ref="G33:M33" si="8">G21</f>
        <v>0.30642504118616143</v>
      </c>
      <c r="H33" s="81">
        <f t="shared" si="8"/>
        <v>0.33117932148626816</v>
      </c>
      <c r="I33" s="81">
        <f t="shared" si="8"/>
        <v>0.32</v>
      </c>
      <c r="J33" s="81">
        <f t="shared" si="8"/>
        <v>0.32</v>
      </c>
      <c r="K33" s="81">
        <f t="shared" si="8"/>
        <v>0.32</v>
      </c>
      <c r="L33" s="81">
        <f t="shared" si="8"/>
        <v>0.32</v>
      </c>
      <c r="M33" s="81">
        <f t="shared" si="8"/>
        <v>0.32</v>
      </c>
      <c r="N33" s="89">
        <v>0.32</v>
      </c>
    </row>
    <row r="34" spans="2:14">
      <c r="B34" s="88" t="s">
        <v>268</v>
      </c>
      <c r="F34" s="90">
        <f>F32*(1-F33)</f>
        <v>468.61349693251537</v>
      </c>
      <c r="G34" s="90">
        <f t="shared" ref="G34:M34" si="9">G32*(1-G21)</f>
        <v>617.28171334431636</v>
      </c>
      <c r="H34" s="90">
        <f t="shared" si="9"/>
        <v>599.93214862681748</v>
      </c>
      <c r="I34" s="90">
        <f t="shared" si="9"/>
        <v>456.22725013333303</v>
      </c>
      <c r="J34" s="90">
        <f t="shared" si="9"/>
        <v>525.04811881244484</v>
      </c>
      <c r="K34" s="90">
        <f t="shared" si="9"/>
        <v>585.02330129553786</v>
      </c>
      <c r="L34" s="90">
        <f t="shared" si="9"/>
        <v>637.12272157186294</v>
      </c>
      <c r="M34" s="90">
        <f t="shared" si="9"/>
        <v>713.93920119954532</v>
      </c>
      <c r="N34" s="91">
        <f>N32*(1-N33)</f>
        <v>798.58164025691678</v>
      </c>
    </row>
    <row r="35" spans="2:14">
      <c r="B35" s="4" t="s">
        <v>269</v>
      </c>
      <c r="F35" s="75">
        <f>Historical!F86</f>
        <v>1160</v>
      </c>
      <c r="G35" s="75">
        <f>Historical!G86</f>
        <v>1215</v>
      </c>
      <c r="H35" s="75">
        <f>Historical!H86</f>
        <v>1238</v>
      </c>
      <c r="I35" s="75">
        <f>Historical!I86</f>
        <v>1200</v>
      </c>
      <c r="J35" s="75">
        <f>Historical!J86</f>
        <v>1200</v>
      </c>
      <c r="K35" s="75">
        <f>Historical!K86</f>
        <v>1200</v>
      </c>
      <c r="L35" s="75">
        <f>Historical!L86</f>
        <v>1200</v>
      </c>
      <c r="M35" s="75">
        <f>Historical!M86</f>
        <v>1200</v>
      </c>
      <c r="N35" s="78">
        <v>1200</v>
      </c>
    </row>
    <row r="36" spans="2:14">
      <c r="B36" s="4" t="s">
        <v>270</v>
      </c>
      <c r="F36" s="75">
        <f>-'Supporting Schedules'!E74</f>
        <v>-1559</v>
      </c>
      <c r="G36" s="75">
        <f>-'Supporting Schedules'!F74</f>
        <v>-825</v>
      </c>
      <c r="H36" s="75">
        <f>-'Supporting Schedules'!G74</f>
        <v>-843</v>
      </c>
      <c r="I36" s="75">
        <f>-'Supporting Schedules'!H74</f>
        <v>-828.75</v>
      </c>
      <c r="J36" s="75">
        <f>-'Supporting Schedules'!I74</f>
        <v>-828.75</v>
      </c>
      <c r="K36" s="75">
        <f>-'Supporting Schedules'!J74</f>
        <v>-828.75</v>
      </c>
      <c r="L36" s="75">
        <f>-'Supporting Schedules'!K74</f>
        <v>-828.75</v>
      </c>
      <c r="M36" s="75">
        <f>-'Supporting Schedules'!L74</f>
        <v>-828.75</v>
      </c>
      <c r="N36" s="78">
        <v>-825</v>
      </c>
    </row>
    <row r="37" spans="2:14">
      <c r="B37" s="4" t="s">
        <v>271</v>
      </c>
      <c r="F37" s="75">
        <f>'Supporting Schedules'!E69</f>
        <v>-244</v>
      </c>
      <c r="G37" s="75">
        <f>'Supporting Schedules'!F69</f>
        <v>-506</v>
      </c>
      <c r="H37" s="75">
        <f>'Supporting Schedules'!G69</f>
        <v>-86</v>
      </c>
      <c r="I37" s="75">
        <f>'Supporting Schedules'!H69</f>
        <v>228.83709983561675</v>
      </c>
      <c r="J37" s="75">
        <f>'Supporting Schedules'!I69</f>
        <v>-172.82684659287725</v>
      </c>
      <c r="K37" s="75">
        <f>'Supporting Schedules'!J69</f>
        <v>-176.29455465806586</v>
      </c>
      <c r="L37" s="75">
        <f>'Supporting Schedules'!K69</f>
        <v>-74.627559881811067</v>
      </c>
      <c r="M37" s="75">
        <f>'Supporting Schedules'!L69</f>
        <v>-78.495047724770302</v>
      </c>
      <c r="N37" s="78">
        <v>-85</v>
      </c>
    </row>
    <row r="38" spans="2:14">
      <c r="B38" s="4" t="s">
        <v>325</v>
      </c>
      <c r="F38" s="75">
        <f>Historical!F106</f>
        <v>-507</v>
      </c>
      <c r="G38" s="75">
        <f>Historical!G106</f>
        <v>-487</v>
      </c>
      <c r="H38" s="75">
        <f>Historical!H106</f>
        <v>-504</v>
      </c>
      <c r="I38" s="75">
        <f>Historical!I106</f>
        <v>-490.4</v>
      </c>
      <c r="J38" s="75">
        <f>Historical!J106</f>
        <v>-492.83199999999999</v>
      </c>
      <c r="K38" s="75">
        <f>Historical!K106</f>
        <v>-495.45856000000003</v>
      </c>
      <c r="L38" s="75">
        <f>Historical!L106</f>
        <v>-498.29524479999998</v>
      </c>
      <c r="M38" s="75">
        <f>Historical!M106</f>
        <v>-501.35886438399996</v>
      </c>
      <c r="N38" s="78">
        <v>-610</v>
      </c>
    </row>
    <row r="39" spans="2:14" ht="15" thickBot="1">
      <c r="B39" s="88" t="s">
        <v>267</v>
      </c>
      <c r="F39" s="92">
        <f>F34+F35+F36-F37+F38</f>
        <v>-193.38650306748468</v>
      </c>
      <c r="G39" s="92">
        <f t="shared" ref="G39:N39" si="10">G34+G35+G36-G37+G38</f>
        <v>1026.2817133443164</v>
      </c>
      <c r="H39" s="92">
        <f t="shared" si="10"/>
        <v>576.93214862681748</v>
      </c>
      <c r="I39" s="92">
        <f t="shared" si="10"/>
        <v>108.24015029771624</v>
      </c>
      <c r="J39" s="92">
        <f t="shared" si="10"/>
        <v>576.29296540532221</v>
      </c>
      <c r="K39" s="92">
        <f t="shared" si="10"/>
        <v>637.10929595360358</v>
      </c>
      <c r="L39" s="92">
        <f t="shared" si="10"/>
        <v>584.70503665367403</v>
      </c>
      <c r="M39" s="92">
        <f t="shared" si="10"/>
        <v>662.32538454031567</v>
      </c>
      <c r="N39" s="83">
        <f t="shared" si="10"/>
        <v>648.58164025691667</v>
      </c>
    </row>
    <row r="41" spans="2:14">
      <c r="B41" s="84"/>
      <c r="C41" s="84"/>
      <c r="D41" s="84"/>
      <c r="E41" s="84"/>
      <c r="F41" s="84"/>
      <c r="G41" s="84"/>
      <c r="H41" s="84"/>
      <c r="I41" s="84"/>
      <c r="J41" s="84"/>
      <c r="K41" s="84"/>
      <c r="L41" s="84"/>
      <c r="M41" s="84"/>
      <c r="N41" s="84"/>
    </row>
    <row r="43" spans="2:14" ht="23">
      <c r="B43" s="148" t="s">
        <v>272</v>
      </c>
      <c r="C43" s="149"/>
      <c r="D43" s="149"/>
      <c r="E43" s="149"/>
      <c r="F43" s="149"/>
      <c r="G43" s="149"/>
      <c r="H43" s="149"/>
      <c r="I43" s="149"/>
      <c r="J43" s="149"/>
      <c r="K43" s="149"/>
      <c r="L43" s="149"/>
      <c r="M43" s="149"/>
      <c r="N43" s="149"/>
    </row>
    <row r="45" spans="2:14" ht="15" thickBot="1">
      <c r="I45" s="86" t="s">
        <v>252</v>
      </c>
      <c r="J45" s="86" t="s">
        <v>253</v>
      </c>
      <c r="K45" s="86" t="s">
        <v>254</v>
      </c>
      <c r="L45" s="86" t="s">
        <v>255</v>
      </c>
      <c r="M45" s="86" t="s">
        <v>256</v>
      </c>
      <c r="N45" s="87" t="s">
        <v>257</v>
      </c>
    </row>
    <row r="46" spans="2:14">
      <c r="N46" s="74"/>
    </row>
    <row r="47" spans="2:14">
      <c r="B47" s="4" t="s">
        <v>267</v>
      </c>
      <c r="I47" s="93">
        <f>I39</f>
        <v>108.24015029771624</v>
      </c>
      <c r="J47" s="94">
        <f t="shared" ref="J47:N47" si="11">J39</f>
        <v>576.29296540532221</v>
      </c>
      <c r="K47" s="94">
        <f t="shared" si="11"/>
        <v>637.10929595360358</v>
      </c>
      <c r="L47" s="94">
        <f t="shared" si="11"/>
        <v>584.70503665367403</v>
      </c>
      <c r="M47" s="94">
        <f t="shared" si="11"/>
        <v>662.32538454031567</v>
      </c>
      <c r="N47" s="95">
        <f t="shared" si="11"/>
        <v>648.58164025691667</v>
      </c>
    </row>
    <row r="48" spans="2:14">
      <c r="B48" s="4" t="s">
        <v>117</v>
      </c>
      <c r="I48" s="96"/>
      <c r="J48" s="84"/>
      <c r="K48" s="84"/>
      <c r="L48" s="84"/>
      <c r="M48" s="84"/>
      <c r="N48" s="97">
        <f>N19</f>
        <v>2194.3847650837015</v>
      </c>
    </row>
    <row r="49" spans="2:26">
      <c r="N49" s="74"/>
    </row>
    <row r="50" spans="2:26">
      <c r="N50" s="74"/>
    </row>
    <row r="51" spans="2:26">
      <c r="B51" s="88" t="s">
        <v>273</v>
      </c>
      <c r="N51" s="74"/>
    </row>
    <row r="52" spans="2:26">
      <c r="B52" s="4" t="s">
        <v>274</v>
      </c>
      <c r="I52" s="98">
        <f>I47</f>
        <v>108.24015029771624</v>
      </c>
      <c r="J52" s="98">
        <f t="shared" ref="J52:N52" si="12">J47</f>
        <v>576.29296540532221</v>
      </c>
      <c r="K52" s="98">
        <f t="shared" si="12"/>
        <v>637.10929595360358</v>
      </c>
      <c r="L52" s="98">
        <f t="shared" si="12"/>
        <v>584.70503665367403</v>
      </c>
      <c r="M52" s="98">
        <f t="shared" si="12"/>
        <v>662.32538454031567</v>
      </c>
      <c r="N52" s="99">
        <f t="shared" si="12"/>
        <v>648.58164025691667</v>
      </c>
    </row>
    <row r="53" spans="2:26">
      <c r="B53" s="4" t="s">
        <v>275</v>
      </c>
      <c r="I53" s="100">
        <v>0</v>
      </c>
      <c r="J53" s="100">
        <v>0</v>
      </c>
      <c r="K53" s="100">
        <v>0</v>
      </c>
      <c r="L53" s="100">
        <v>0</v>
      </c>
      <c r="M53" s="100">
        <v>0</v>
      </c>
      <c r="N53" s="99">
        <f>(N52*(1+D61))/(D62-D61)</f>
        <v>8682.3870166699617</v>
      </c>
      <c r="O53" s="101"/>
    </row>
    <row r="54" spans="2:26">
      <c r="B54" s="102" t="s">
        <v>276</v>
      </c>
      <c r="C54" s="103"/>
      <c r="D54" s="103"/>
      <c r="E54" s="103"/>
      <c r="F54" s="103"/>
      <c r="G54" s="103"/>
      <c r="H54" s="103"/>
      <c r="I54" s="104">
        <f>SUM(I52:I53)</f>
        <v>108.24015029771624</v>
      </c>
      <c r="J54" s="104">
        <f t="shared" ref="J54:N54" si="13">SUM(J52:J53)</f>
        <v>576.29296540532221</v>
      </c>
      <c r="K54" s="104">
        <f t="shared" si="13"/>
        <v>637.10929595360358</v>
      </c>
      <c r="L54" s="104">
        <f t="shared" si="13"/>
        <v>584.70503665367403</v>
      </c>
      <c r="M54" s="104">
        <f t="shared" si="13"/>
        <v>662.32538454031567</v>
      </c>
      <c r="N54" s="105">
        <f t="shared" si="13"/>
        <v>9330.9686569268779</v>
      </c>
    </row>
    <row r="55" spans="2:26">
      <c r="B55" s="106"/>
      <c r="C55" s="107"/>
      <c r="D55" s="107"/>
      <c r="E55" s="107"/>
      <c r="F55" s="107"/>
      <c r="G55" s="107"/>
      <c r="H55" s="107"/>
      <c r="I55" s="108"/>
      <c r="J55" s="108"/>
      <c r="K55" s="108"/>
      <c r="L55" s="108"/>
      <c r="M55" s="108"/>
      <c r="N55" s="108"/>
    </row>
    <row r="56" spans="2:26">
      <c r="B56" s="109"/>
      <c r="C56" s="84"/>
      <c r="D56" s="84"/>
      <c r="E56" s="84"/>
      <c r="F56" s="84"/>
      <c r="G56" s="84"/>
      <c r="H56" s="84"/>
      <c r="I56" s="110"/>
      <c r="J56" s="110"/>
      <c r="K56" s="110"/>
      <c r="L56" s="110"/>
      <c r="M56" s="110"/>
      <c r="N56" s="110"/>
    </row>
    <row r="58" spans="2:26" ht="16">
      <c r="B58" s="22" t="s">
        <v>277</v>
      </c>
      <c r="C58" s="22"/>
      <c r="D58" s="22"/>
      <c r="E58" s="22"/>
      <c r="F58" s="22"/>
      <c r="G58" s="22" t="s">
        <v>278</v>
      </c>
      <c r="H58" s="22"/>
      <c r="I58" s="88"/>
      <c r="J58" s="88"/>
      <c r="K58" s="111" t="s">
        <v>279</v>
      </c>
    </row>
    <row r="59" spans="2:26" ht="16">
      <c r="B59" s="112" t="s">
        <v>280</v>
      </c>
      <c r="C59" s="61"/>
      <c r="D59" s="59">
        <v>2026</v>
      </c>
      <c r="G59" s="112" t="s">
        <v>281</v>
      </c>
      <c r="H59" s="61"/>
      <c r="I59" s="113">
        <f>NPV(D62,I52,J52,K52,L52,M52)</f>
        <v>1885.3756753543478</v>
      </c>
      <c r="K59" s="114" t="s">
        <v>282</v>
      </c>
      <c r="L59" s="115"/>
      <c r="M59" s="115"/>
      <c r="N59" s="116">
        <f>I75</f>
        <v>7376.6750022284796</v>
      </c>
    </row>
    <row r="60" spans="2:26" ht="16">
      <c r="B60" s="117" t="s">
        <v>283</v>
      </c>
      <c r="C60" s="68"/>
      <c r="D60" s="118"/>
      <c r="G60" s="117" t="s">
        <v>284</v>
      </c>
      <c r="H60" s="68"/>
      <c r="I60" s="126">
        <f>NPV(D62,0,0,0,0,N53)</f>
        <v>5485.299326874132</v>
      </c>
      <c r="K60" s="119" t="s">
        <v>285</v>
      </c>
      <c r="L60" s="107"/>
      <c r="M60" s="107"/>
      <c r="N60" s="120">
        <f>D80</f>
        <v>2182</v>
      </c>
    </row>
    <row r="61" spans="2:26" ht="17" thickBot="1">
      <c r="B61" s="117" t="s">
        <v>286</v>
      </c>
      <c r="C61" s="68"/>
      <c r="D61" s="121">
        <f>2%+Q75</f>
        <v>0.02</v>
      </c>
      <c r="G61" s="152" t="s">
        <v>287</v>
      </c>
      <c r="H61" s="153"/>
      <c r="I61" s="155">
        <f>I59+I60</f>
        <v>7370.6750022284796</v>
      </c>
      <c r="K61" s="150" t="s">
        <v>288</v>
      </c>
      <c r="L61" s="146"/>
      <c r="M61" s="146"/>
      <c r="N61" s="151">
        <f>N59/N60</f>
        <v>3.3806943181615399</v>
      </c>
    </row>
    <row r="62" spans="2:26" ht="16">
      <c r="B62" s="122" t="s">
        <v>289</v>
      </c>
      <c r="C62" s="62"/>
      <c r="D62" s="123">
        <f>(D82*D69)+(D88*D75)+T75</f>
        <v>9.6194861135755608E-2</v>
      </c>
    </row>
    <row r="63" spans="2:26">
      <c r="R63" s="189" t="s">
        <v>335</v>
      </c>
      <c r="S63" s="189"/>
      <c r="T63" s="189"/>
      <c r="U63" s="189"/>
      <c r="V63" s="189"/>
      <c r="W63" s="189"/>
      <c r="X63" s="189"/>
      <c r="Y63" s="189"/>
      <c r="Z63" s="189"/>
    </row>
    <row r="64" spans="2:26" ht="16">
      <c r="E64" s="6"/>
      <c r="F64" s="6"/>
      <c r="T64" s="204" t="s">
        <v>286</v>
      </c>
      <c r="U64" s="204"/>
      <c r="V64" s="204"/>
      <c r="W64" s="204"/>
      <c r="X64" s="204"/>
      <c r="Y64" s="204"/>
      <c r="Z64" s="204"/>
    </row>
    <row r="65" spans="2:27" ht="16">
      <c r="B65" s="22" t="s">
        <v>290</v>
      </c>
      <c r="C65" s="6"/>
      <c r="D65" s="6"/>
      <c r="G65" s="22" t="s">
        <v>291</v>
      </c>
      <c r="H65" s="6"/>
      <c r="S65" s="183">
        <f>DCF!N61</f>
        <v>3.3806943181615399</v>
      </c>
      <c r="T65" s="184">
        <v>0</v>
      </c>
      <c r="U65" s="184">
        <f>T65+1%</f>
        <v>0.01</v>
      </c>
      <c r="V65" s="184">
        <f>U65+0.5%</f>
        <v>1.4999999999999999E-2</v>
      </c>
      <c r="W65" s="184">
        <f>V65+0.5%</f>
        <v>0.02</v>
      </c>
      <c r="X65" s="184">
        <f>W65+0.5%</f>
        <v>2.5000000000000001E-2</v>
      </c>
      <c r="Y65" s="184">
        <f>X65+0.5%</f>
        <v>3.0000000000000002E-2</v>
      </c>
      <c r="Z65" s="184">
        <f>Y65+0.5%</f>
        <v>3.5000000000000003E-2</v>
      </c>
    </row>
    <row r="66" spans="2:27" ht="16">
      <c r="B66" s="112" t="s">
        <v>318</v>
      </c>
      <c r="C66" s="61"/>
      <c r="D66" s="124">
        <v>4.99E-2</v>
      </c>
      <c r="G66" s="112" t="s">
        <v>292</v>
      </c>
      <c r="H66" s="61"/>
      <c r="I66" s="113">
        <f>Historical!H54</f>
        <v>80</v>
      </c>
      <c r="R66" s="203" t="s">
        <v>336</v>
      </c>
      <c r="S66" s="185">
        <f>6.6%</f>
        <v>6.6000000000000003E-2</v>
      </c>
      <c r="T66" s="186">
        <f t="dataTable" ref="T66:Z70" dt2D="1" dtr="1" r1="D61" r2="D62"/>
        <v>4.2225206672728772</v>
      </c>
      <c r="U66" s="186">
        <v>4.8453214119022965</v>
      </c>
      <c r="V66" s="186">
        <v>5.2483101290154508</v>
      </c>
      <c r="W66" s="186">
        <v>5.7389050889792905</v>
      </c>
      <c r="X66" s="186">
        <v>6.3491573562513839</v>
      </c>
      <c r="Y66" s="186">
        <v>7.1289241422101686</v>
      </c>
      <c r="Z66" s="186">
        <v>8.1602286010588845</v>
      </c>
    </row>
    <row r="67" spans="2:27" ht="16">
      <c r="B67" s="117" t="s">
        <v>293</v>
      </c>
      <c r="C67" s="68"/>
      <c r="D67" s="125">
        <v>1.01</v>
      </c>
      <c r="G67" s="117" t="s">
        <v>294</v>
      </c>
      <c r="H67" s="68"/>
      <c r="I67" s="126">
        <f>Historical!H65</f>
        <v>981</v>
      </c>
      <c r="R67" s="203"/>
      <c r="S67" s="185">
        <f>S66+1.5%</f>
        <v>8.1000000000000003E-2</v>
      </c>
      <c r="T67" s="186">
        <v>3.3936375309180491</v>
      </c>
      <c r="U67" s="186">
        <v>3.7721356808491695</v>
      </c>
      <c r="V67" s="187">
        <v>4.0043959092159938</v>
      </c>
      <c r="W67" s="187">
        <v>4.2747315848560676</v>
      </c>
      <c r="X67" s="187">
        <v>4.5933414882890116</v>
      </c>
      <c r="Y67" s="186">
        <v>4.9744239218068476</v>
      </c>
      <c r="Z67" s="186">
        <v>5.4383503626111676</v>
      </c>
    </row>
    <row r="68" spans="2:27" ht="16">
      <c r="B68" s="117" t="s">
        <v>295</v>
      </c>
      <c r="C68" s="68"/>
      <c r="D68" s="135">
        <v>5.5E-2</v>
      </c>
      <c r="G68" s="205" t="s">
        <v>296</v>
      </c>
      <c r="H68" s="206"/>
      <c r="I68" s="126">
        <f>Historical!H47</f>
        <v>1067</v>
      </c>
      <c r="J68" s="98"/>
      <c r="R68" s="203"/>
      <c r="S68" s="185">
        <f>S67+1.5%</f>
        <v>9.6000000000000002E-2</v>
      </c>
      <c r="T68" s="186">
        <v>2.8251945310667566</v>
      </c>
      <c r="U68" s="186">
        <v>3.0747103035318113</v>
      </c>
      <c r="V68" s="187">
        <v>3.2225715020296213</v>
      </c>
      <c r="W68" s="188">
        <v>3.3898881213824077</v>
      </c>
      <c r="X68" s="187">
        <v>3.5807704617707965</v>
      </c>
      <c r="Y68" s="186">
        <v>3.8005743688847002</v>
      </c>
      <c r="Z68" s="186">
        <v>4.056411703394323</v>
      </c>
    </row>
    <row r="69" spans="2:27" ht="16">
      <c r="B69" s="152" t="s">
        <v>297</v>
      </c>
      <c r="C69" s="153"/>
      <c r="D69" s="156">
        <f>D66*D67+D68</f>
        <v>0.10539899999999999</v>
      </c>
      <c r="G69" s="152" t="s">
        <v>298</v>
      </c>
      <c r="H69" s="153"/>
      <c r="I69" s="154">
        <f>(I66+I67)-I68</f>
        <v>-6</v>
      </c>
      <c r="R69" s="203"/>
      <c r="S69" s="185">
        <f>S68+1.5%</f>
        <v>0.111</v>
      </c>
      <c r="T69" s="186">
        <v>2.4115416456912846</v>
      </c>
      <c r="U69" s="186">
        <v>2.5855657135241104</v>
      </c>
      <c r="V69" s="187">
        <v>2.686173377739963</v>
      </c>
      <c r="W69" s="187">
        <v>2.7978368292322831</v>
      </c>
      <c r="X69" s="187">
        <v>2.9224844029911514</v>
      </c>
      <c r="Y69" s="186">
        <v>3.0625205661029669</v>
      </c>
      <c r="Z69" s="186">
        <v>3.2209825401505472</v>
      </c>
    </row>
    <row r="70" spans="2:27">
      <c r="R70" s="203"/>
      <c r="S70" s="185">
        <f>S69+1.5%</f>
        <v>0.126</v>
      </c>
      <c r="T70" s="186">
        <v>2.0973425517176305</v>
      </c>
      <c r="U70" s="186">
        <v>2.2238534117300355</v>
      </c>
      <c r="V70" s="186">
        <v>2.295656872818157</v>
      </c>
      <c r="W70" s="186">
        <v>2.3742342453296867</v>
      </c>
      <c r="X70" s="186">
        <v>2.4605915557136444</v>
      </c>
      <c r="Y70" s="186">
        <v>2.5559444192625982</v>
      </c>
      <c r="Z70" s="186">
        <v>2.6617756194652831</v>
      </c>
    </row>
    <row r="71" spans="2:27">
      <c r="E71" s="88"/>
      <c r="F71" s="88"/>
    </row>
    <row r="72" spans="2:27" ht="16">
      <c r="B72" s="22" t="s">
        <v>299</v>
      </c>
      <c r="C72" s="88"/>
      <c r="D72" s="88"/>
      <c r="G72" s="111" t="s">
        <v>300</v>
      </c>
      <c r="H72" s="88"/>
    </row>
    <row r="73" spans="2:27" ht="16">
      <c r="B73" s="112" t="s">
        <v>301</v>
      </c>
      <c r="C73" s="61"/>
      <c r="D73" s="124">
        <f>'Supporting Schedules'!G11/'Supporting Schedules'!G10</f>
        <v>4.71253534401508E-2</v>
      </c>
      <c r="G73" s="114" t="s">
        <v>287</v>
      </c>
      <c r="H73" s="61"/>
      <c r="I73" s="127">
        <f>I61</f>
        <v>7370.6750022284796</v>
      </c>
      <c r="Q73" s="202" t="s">
        <v>338</v>
      </c>
      <c r="R73" s="202"/>
      <c r="T73" s="202" t="s">
        <v>341</v>
      </c>
      <c r="U73" s="202"/>
      <c r="W73" s="202" t="s">
        <v>340</v>
      </c>
      <c r="X73" s="202"/>
      <c r="Z73" s="202" t="s">
        <v>342</v>
      </c>
      <c r="AA73" s="202"/>
    </row>
    <row r="74" spans="2:27" ht="16">
      <c r="B74" s="117" t="s">
        <v>249</v>
      </c>
      <c r="C74" s="68"/>
      <c r="D74" s="121">
        <f>I21</f>
        <v>0.32</v>
      </c>
      <c r="G74" s="119" t="s">
        <v>302</v>
      </c>
      <c r="H74" s="68"/>
      <c r="I74" s="126">
        <f>-I69</f>
        <v>6</v>
      </c>
      <c r="Q74" s="190" t="s">
        <v>337</v>
      </c>
      <c r="R74" s="190" t="s">
        <v>339</v>
      </c>
      <c r="T74" s="190" t="s">
        <v>337</v>
      </c>
      <c r="U74" s="190" t="s">
        <v>339</v>
      </c>
      <c r="W74" s="190" t="s">
        <v>337</v>
      </c>
      <c r="X74" s="190" t="s">
        <v>339</v>
      </c>
      <c r="Z74" s="190" t="s">
        <v>337</v>
      </c>
      <c r="AA74" s="190" t="s">
        <v>339</v>
      </c>
    </row>
    <row r="75" spans="2:27" ht="16">
      <c r="B75" s="152" t="s">
        <v>303</v>
      </c>
      <c r="C75" s="153"/>
      <c r="D75" s="157">
        <f>D73*(1-D74)</f>
        <v>3.204524033930254E-2</v>
      </c>
      <c r="G75" s="158" t="s">
        <v>282</v>
      </c>
      <c r="H75" s="153"/>
      <c r="I75" s="155">
        <f>SUM(I73:I74)</f>
        <v>7376.6750022284796</v>
      </c>
      <c r="Q75" s="191">
        <v>0</v>
      </c>
      <c r="R75" s="192">
        <f>N61</f>
        <v>3.3806943181615399</v>
      </c>
      <c r="T75" s="191">
        <v>0</v>
      </c>
      <c r="U75" s="192">
        <f>N61</f>
        <v>3.3806943181615399</v>
      </c>
      <c r="W75" s="191">
        <v>0</v>
      </c>
      <c r="X75" s="192">
        <f>N61</f>
        <v>3.3806943181615399</v>
      </c>
      <c r="Z75" s="191">
        <v>0</v>
      </c>
      <c r="AA75" s="192">
        <f>N61</f>
        <v>3.3806943181615399</v>
      </c>
    </row>
    <row r="76" spans="2:27">
      <c r="Q76" s="191">
        <v>-0.02</v>
      </c>
      <c r="R76" s="192">
        <f t="dataTable" ref="R76:R77" dt2D="0" dtr="0" r1="Q75" ca="1"/>
        <v>2.818985426121011</v>
      </c>
      <c r="T76" s="191">
        <v>-0.02</v>
      </c>
      <c r="U76" s="192">
        <f t="dataTable" ref="U76:U77" dt2D="0" dtr="0" r1="T75" ca="1"/>
        <v>4.658470337532826</v>
      </c>
      <c r="W76" s="191">
        <v>-0.02</v>
      </c>
      <c r="X76" s="192">
        <f t="dataTable" ref="X76:X77" dt2D="0" dtr="0" r1="W75" ca="1"/>
        <v>2.8154846269491354</v>
      </c>
      <c r="Z76" s="191">
        <v>-0.02</v>
      </c>
      <c r="AA76" s="73">
        <f t="dataTable" ref="AA76:AA77" dt2D="0" dtr="0" r1="N61" ca="1"/>
        <v>-0.02</v>
      </c>
    </row>
    <row r="77" spans="2:27">
      <c r="Q77" s="191">
        <v>0.02</v>
      </c>
      <c r="R77" s="192">
        <v>4.3422325758684774</v>
      </c>
      <c r="T77" s="191">
        <v>0.02</v>
      </c>
      <c r="U77" s="192">
        <v>2.6360713228773931</v>
      </c>
      <c r="W77" s="191">
        <v>0.02</v>
      </c>
      <c r="X77" s="192">
        <v>3.9883460988125559</v>
      </c>
      <c r="Z77" s="191">
        <v>0.02</v>
      </c>
      <c r="AA77" s="73">
        <v>0.02</v>
      </c>
    </row>
    <row r="78" spans="2:27" ht="16">
      <c r="B78" s="128" t="s">
        <v>304</v>
      </c>
      <c r="G78" s="22" t="s">
        <v>305</v>
      </c>
    </row>
    <row r="79" spans="2:27" ht="16">
      <c r="B79" s="114" t="s">
        <v>319</v>
      </c>
      <c r="C79" s="61"/>
      <c r="D79" s="59">
        <v>3.3889999999999998</v>
      </c>
      <c r="G79" s="129"/>
      <c r="H79" s="103">
        <v>2026</v>
      </c>
      <c r="I79" s="130" t="s">
        <v>306</v>
      </c>
      <c r="J79" s="130" t="s">
        <v>307</v>
      </c>
      <c r="K79" s="130" t="s">
        <v>308</v>
      </c>
      <c r="L79" s="131"/>
      <c r="Q79" s="195" t="s">
        <v>343</v>
      </c>
      <c r="R79" s="195"/>
      <c r="S79" s="195"/>
      <c r="T79" s="196" t="s">
        <v>344</v>
      </c>
      <c r="U79" s="195" t="s">
        <v>345</v>
      </c>
      <c r="V79" s="193" t="s">
        <v>346</v>
      </c>
      <c r="W79" s="193" t="s">
        <v>347</v>
      </c>
      <c r="X79" s="195" t="s">
        <v>348</v>
      </c>
      <c r="Y79" s="195"/>
      <c r="Z79" s="193" t="s">
        <v>349</v>
      </c>
      <c r="AA79" s="193" t="s">
        <v>350</v>
      </c>
    </row>
    <row r="80" spans="2:27" ht="16" customHeight="1">
      <c r="B80" s="119" t="s">
        <v>285</v>
      </c>
      <c r="C80" s="68"/>
      <c r="D80" s="132">
        <v>2182</v>
      </c>
      <c r="G80" s="210" t="s">
        <v>320</v>
      </c>
      <c r="H80" s="211"/>
      <c r="I80" s="6">
        <v>0</v>
      </c>
      <c r="J80" s="107">
        <v>2029</v>
      </c>
      <c r="K80" s="107">
        <f t="shared" ref="K80:K85" si="14">J80-$H$79</f>
        <v>3</v>
      </c>
      <c r="L80" s="120">
        <f t="shared" ref="L80:L85" si="15">I80*K80</f>
        <v>0</v>
      </c>
      <c r="N80"/>
      <c r="Q80" s="4" t="str">
        <f>Q73</f>
        <v>Growth Rate +/-2%</v>
      </c>
      <c r="T80" s="194">
        <f>R76/R75-1</f>
        <v>-0.16615193187474953</v>
      </c>
      <c r="U80" s="194">
        <f>ABS(T80)</f>
        <v>0.16615193187474953</v>
      </c>
      <c r="V80" s="73">
        <v>1</v>
      </c>
      <c r="W80" s="194">
        <f>SMALL($U$80:$U$83,V80)</f>
        <v>0.16615193187474953</v>
      </c>
      <c r="X80" s="4" t="str">
        <f>INDEX($Q$80:$W$83, MATCH(W80,$U$80:$U$83,0),MATCH($Q$80,$Q$80:$W$80))</f>
        <v>Growth Rate +/-2%</v>
      </c>
      <c r="Z80" s="191">
        <f>W80</f>
        <v>0.16615193187474953</v>
      </c>
      <c r="AA80" s="191">
        <f>-Z80</f>
        <v>-0.16615193187474953</v>
      </c>
    </row>
    <row r="81" spans="2:27" ht="16">
      <c r="B81" s="119" t="s">
        <v>309</v>
      </c>
      <c r="C81" s="68"/>
      <c r="D81" s="126">
        <f>D79*D80</f>
        <v>7394.7979999999998</v>
      </c>
      <c r="G81" s="205" t="s">
        <v>320</v>
      </c>
      <c r="H81" s="206"/>
      <c r="I81" s="6">
        <v>0</v>
      </c>
      <c r="J81" s="107">
        <v>2028</v>
      </c>
      <c r="K81" s="107">
        <f t="shared" si="14"/>
        <v>2</v>
      </c>
      <c r="L81" s="120">
        <f t="shared" si="15"/>
        <v>0</v>
      </c>
      <c r="N81"/>
      <c r="Q81" s="4" t="str">
        <f>T73</f>
        <v>Discount Rate +/-2%</v>
      </c>
      <c r="T81" s="194">
        <f>U76/U75-1</f>
        <v>0.3779626015007933</v>
      </c>
      <c r="U81" s="194">
        <f t="shared" ref="U81:U83" si="16">ABS(T81)</f>
        <v>0.3779626015007933</v>
      </c>
      <c r="V81" s="73">
        <f>V80+1</f>
        <v>2</v>
      </c>
      <c r="W81" s="194">
        <f t="shared" ref="W81:W83" si="17">SMALL($U$80:$U$83,V81)</f>
        <v>0.16718745855726225</v>
      </c>
      <c r="X81" s="4" t="str">
        <f t="shared" ref="X81:X83" si="18">INDEX($Q$80:$W$83, MATCH(W81,$U$80:$U$83,0),MATCH($Q$80,$Q$80:$W$80))</f>
        <v>Revenue Growth +/-2%</v>
      </c>
      <c r="Z81" s="191">
        <f t="shared" ref="Z81:Z83" si="19">W81</f>
        <v>0.16718745855726225</v>
      </c>
      <c r="AA81" s="191">
        <f t="shared" ref="AA81:AA83" si="20">-Z81</f>
        <v>-0.16718745855726225</v>
      </c>
    </row>
    <row r="82" spans="2:27" ht="16">
      <c r="B82" s="133" t="s">
        <v>310</v>
      </c>
      <c r="C82" s="68"/>
      <c r="D82" s="134">
        <f>D81/(D81+D87)</f>
        <v>0.87452396568602997</v>
      </c>
      <c r="G82" s="205" t="s">
        <v>321</v>
      </c>
      <c r="H82" s="206"/>
      <c r="I82" s="6">
        <v>250</v>
      </c>
      <c r="J82" s="107">
        <v>2030</v>
      </c>
      <c r="K82" s="107">
        <f t="shared" si="14"/>
        <v>4</v>
      </c>
      <c r="L82" s="120">
        <f t="shared" si="15"/>
        <v>1000</v>
      </c>
      <c r="N82"/>
      <c r="Q82" s="4" t="str">
        <f>W73</f>
        <v>Revenue Growth +/-2%</v>
      </c>
      <c r="T82" s="194">
        <f>X76/X75-1</f>
        <v>-0.16718745855726225</v>
      </c>
      <c r="U82" s="194">
        <f t="shared" si="16"/>
        <v>0.16718745855726225</v>
      </c>
      <c r="V82" s="73">
        <f t="shared" ref="V82:V83" si="21">V81+1</f>
        <v>3</v>
      </c>
      <c r="W82" s="194">
        <f t="shared" si="17"/>
        <v>0.3779626015007933</v>
      </c>
      <c r="X82" s="4" t="str">
        <f t="shared" si="18"/>
        <v>Discount Rate +/-2%</v>
      </c>
      <c r="Z82" s="191">
        <f t="shared" si="19"/>
        <v>0.3779626015007933</v>
      </c>
      <c r="AA82" s="191">
        <f t="shared" si="20"/>
        <v>-0.3779626015007933</v>
      </c>
    </row>
    <row r="83" spans="2:27" ht="16">
      <c r="B83" s="119" t="s">
        <v>311</v>
      </c>
      <c r="C83" s="68"/>
      <c r="D83" s="126">
        <f>'Supporting Schedules'!G11</f>
        <v>50</v>
      </c>
      <c r="G83" s="205" t="s">
        <v>322</v>
      </c>
      <c r="H83" s="206"/>
      <c r="I83" s="6">
        <v>300</v>
      </c>
      <c r="J83" s="107">
        <v>2035</v>
      </c>
      <c r="K83" s="107">
        <f t="shared" si="14"/>
        <v>9</v>
      </c>
      <c r="L83" s="120">
        <f t="shared" si="15"/>
        <v>2700</v>
      </c>
      <c r="N83"/>
      <c r="Q83" s="4" t="str">
        <f>Z73</f>
        <v>Admin Expenses +/-2%</v>
      </c>
      <c r="T83" s="194">
        <f>AA76/AA75-1</f>
        <v>-1.0059159445125097</v>
      </c>
      <c r="U83" s="194">
        <f t="shared" si="16"/>
        <v>1.0059159445125097</v>
      </c>
      <c r="V83" s="73">
        <f t="shared" si="21"/>
        <v>4</v>
      </c>
      <c r="W83" s="194">
        <f t="shared" si="17"/>
        <v>1.0059159445125097</v>
      </c>
      <c r="X83" s="4" t="str">
        <f t="shared" si="18"/>
        <v>Admin Expenses +/-2%</v>
      </c>
      <c r="Z83" s="191">
        <f t="shared" si="19"/>
        <v>1.0059159445125097</v>
      </c>
      <c r="AA83" s="191">
        <f t="shared" si="20"/>
        <v>-1.0059159445125097</v>
      </c>
    </row>
    <row r="84" spans="2:27" ht="16">
      <c r="B84" s="119" t="s">
        <v>312</v>
      </c>
      <c r="C84" s="68"/>
      <c r="D84" s="135">
        <f>D73</f>
        <v>4.71253534401508E-2</v>
      </c>
      <c r="G84" s="205" t="s">
        <v>323</v>
      </c>
      <c r="H84" s="206"/>
      <c r="I84" s="6">
        <v>125</v>
      </c>
      <c r="J84" s="107">
        <v>2028</v>
      </c>
      <c r="K84" s="107">
        <f t="shared" si="14"/>
        <v>2</v>
      </c>
      <c r="L84" s="120">
        <f t="shared" si="15"/>
        <v>250</v>
      </c>
      <c r="N84"/>
    </row>
    <row r="85" spans="2:27" ht="16">
      <c r="B85" s="119" t="s">
        <v>313</v>
      </c>
      <c r="C85" s="68"/>
      <c r="D85" s="126">
        <f>I66+I67</f>
        <v>1061</v>
      </c>
      <c r="G85" s="208" t="s">
        <v>324</v>
      </c>
      <c r="H85" s="209"/>
      <c r="I85" s="6">
        <v>386</v>
      </c>
      <c r="J85" s="107">
        <v>2031</v>
      </c>
      <c r="K85" s="107">
        <f t="shared" si="14"/>
        <v>5</v>
      </c>
      <c r="L85" s="120">
        <f t="shared" si="15"/>
        <v>1930</v>
      </c>
      <c r="N85"/>
    </row>
    <row r="86" spans="2:27" ht="20" customHeight="1">
      <c r="B86" s="119" t="s">
        <v>314</v>
      </c>
      <c r="C86" s="68"/>
      <c r="D86" s="126">
        <f>L86/D85</f>
        <v>5.5419415645617338</v>
      </c>
      <c r="G86" s="102" t="s">
        <v>316</v>
      </c>
      <c r="H86" s="139"/>
      <c r="I86" s="139"/>
      <c r="J86" s="139"/>
      <c r="K86" s="139"/>
      <c r="L86" s="140">
        <f>SUM(L80:L85)</f>
        <v>5880</v>
      </c>
      <c r="N86"/>
      <c r="R86" s="201" t="s">
        <v>351</v>
      </c>
      <c r="S86" s="201"/>
      <c r="T86" s="201"/>
      <c r="U86" s="201"/>
      <c r="V86" s="201"/>
      <c r="W86" s="201"/>
      <c r="X86" s="201"/>
      <c r="Y86" s="201"/>
      <c r="Z86" s="201"/>
    </row>
    <row r="87" spans="2:27" ht="17" customHeight="1">
      <c r="B87" s="119" t="s">
        <v>315</v>
      </c>
      <c r="C87" s="68"/>
      <c r="D87" s="126">
        <f>-PV(D84,D86,D83,D85)</f>
        <v>1061</v>
      </c>
      <c r="N87"/>
    </row>
    <row r="88" spans="2:27" ht="16">
      <c r="B88" s="136" t="s">
        <v>310</v>
      </c>
      <c r="C88" s="62"/>
      <c r="D88" s="137">
        <f>D87/(D81+D87)</f>
        <v>0.12547603431397014</v>
      </c>
      <c r="N88"/>
    </row>
    <row r="89" spans="2:27" ht="15">
      <c r="N89"/>
    </row>
    <row r="90" spans="2:27" ht="15">
      <c r="N90"/>
    </row>
    <row r="91" spans="2:27" ht="15">
      <c r="N91"/>
    </row>
    <row r="92" spans="2:27" ht="15">
      <c r="N92"/>
    </row>
    <row r="93" spans="2:27" ht="15">
      <c r="N93"/>
    </row>
    <row r="94" spans="2:27" ht="15">
      <c r="N94"/>
    </row>
    <row r="95" spans="2:27" ht="15">
      <c r="N95"/>
    </row>
    <row r="96" spans="2:27" ht="15">
      <c r="N96"/>
    </row>
    <row r="97" spans="4:14" ht="15">
      <c r="N97"/>
    </row>
    <row r="98" spans="4:14" ht="15">
      <c r="N98"/>
    </row>
    <row r="99" spans="4:14" ht="15">
      <c r="N99"/>
    </row>
    <row r="100" spans="4:14" ht="15">
      <c r="N100"/>
    </row>
    <row r="101" spans="4:14" ht="15">
      <c r="N101"/>
    </row>
    <row r="102" spans="4:14" ht="15">
      <c r="N102"/>
    </row>
    <row r="103" spans="4:14" ht="15">
      <c r="N103"/>
    </row>
    <row r="104" spans="4:14" ht="15">
      <c r="N104"/>
    </row>
    <row r="105" spans="4:14" ht="15">
      <c r="N105"/>
    </row>
    <row r="106" spans="4:14" ht="15">
      <c r="D106" s="138"/>
      <c r="N106"/>
    </row>
    <row r="107" spans="4:14" ht="15">
      <c r="N107"/>
    </row>
    <row r="108" spans="4:14" ht="15">
      <c r="N108"/>
    </row>
    <row r="109" spans="4:14" ht="15">
      <c r="N109"/>
    </row>
    <row r="110" spans="4:14" ht="15">
      <c r="N110"/>
    </row>
    <row r="111" spans="4:14" ht="15">
      <c r="N111"/>
    </row>
    <row r="112" spans="4:14" ht="15">
      <c r="N112"/>
    </row>
    <row r="113" spans="14:14" ht="15">
      <c r="N113"/>
    </row>
    <row r="114" spans="14:14" ht="15">
      <c r="N114"/>
    </row>
    <row r="115" spans="14:14" ht="15">
      <c r="N115"/>
    </row>
    <row r="116" spans="14:14" ht="15">
      <c r="N116"/>
    </row>
    <row r="117" spans="14:14" ht="15">
      <c r="N117"/>
    </row>
    <row r="118" spans="14:14" ht="15">
      <c r="N118"/>
    </row>
    <row r="119" spans="14:14" ht="15">
      <c r="N119"/>
    </row>
    <row r="120" spans="14:14" ht="15">
      <c r="N120"/>
    </row>
  </sheetData>
  <mergeCells count="15">
    <mergeCell ref="R66:R70"/>
    <mergeCell ref="T64:Z64"/>
    <mergeCell ref="G68:H68"/>
    <mergeCell ref="A1:N1"/>
    <mergeCell ref="G85:H85"/>
    <mergeCell ref="G80:H80"/>
    <mergeCell ref="G81:H81"/>
    <mergeCell ref="G82:H82"/>
    <mergeCell ref="G83:H83"/>
    <mergeCell ref="G84:H84"/>
    <mergeCell ref="R86:Z86"/>
    <mergeCell ref="Z73:AA73"/>
    <mergeCell ref="W73:X73"/>
    <mergeCell ref="Q73:R73"/>
    <mergeCell ref="T73:U7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B1:L98"/>
  <sheetViews>
    <sheetView showGridLines="0" topLeftCell="A35" zoomScale="80" zoomScaleNormal="80" workbookViewId="0">
      <selection activeCell="H48" sqref="H48:L48"/>
    </sheetView>
  </sheetViews>
  <sheetFormatPr baseColWidth="10" defaultColWidth="8.83203125" defaultRowHeight="16"/>
  <cols>
    <col min="1" max="1" width="5.6640625" style="6" customWidth="1"/>
    <col min="2" max="2" width="53" style="6" bestFit="1" customWidth="1"/>
    <col min="3" max="7" width="14" style="6" customWidth="1"/>
    <col min="8" max="8" width="14.5" style="6" bestFit="1" customWidth="1"/>
    <col min="9" max="12" width="11.1640625" style="6" bestFit="1" customWidth="1"/>
    <col min="13" max="16384" width="8.83203125" style="6"/>
  </cols>
  <sheetData>
    <row r="1" spans="2:12" ht="20">
      <c r="B1" s="212" t="s">
        <v>129</v>
      </c>
      <c r="C1" s="212"/>
      <c r="D1" s="212"/>
      <c r="E1" s="212"/>
      <c r="F1" s="212"/>
      <c r="G1" s="212"/>
      <c r="H1" s="141"/>
      <c r="I1" s="141"/>
      <c r="J1" s="141"/>
      <c r="K1" s="141"/>
      <c r="L1" s="141"/>
    </row>
    <row r="3" spans="2:12">
      <c r="B3" s="5"/>
      <c r="C3" s="5" t="s">
        <v>2</v>
      </c>
      <c r="D3" s="5" t="s">
        <v>3</v>
      </c>
      <c r="E3" s="5" t="s">
        <v>4</v>
      </c>
      <c r="F3" s="5" t="s">
        <v>5</v>
      </c>
      <c r="G3" s="5" t="s">
        <v>6</v>
      </c>
      <c r="H3" s="23" t="s">
        <v>183</v>
      </c>
      <c r="I3" s="23" t="s">
        <v>184</v>
      </c>
      <c r="J3" s="23" t="s">
        <v>185</v>
      </c>
      <c r="K3" s="23" t="s">
        <v>186</v>
      </c>
      <c r="L3" s="23" t="s">
        <v>187</v>
      </c>
    </row>
    <row r="5" spans="2:12" ht="20">
      <c r="B5" s="212" t="s">
        <v>130</v>
      </c>
      <c r="C5" s="212"/>
      <c r="D5" s="212"/>
      <c r="E5" s="212"/>
      <c r="F5" s="212"/>
      <c r="G5" s="212"/>
      <c r="H5" s="141"/>
      <c r="I5" s="141"/>
      <c r="J5" s="141"/>
      <c r="K5" s="141"/>
      <c r="L5" s="141"/>
    </row>
    <row r="6" spans="2:12">
      <c r="B6" s="6" t="s">
        <v>131</v>
      </c>
      <c r="C6" s="24">
        <v>1104</v>
      </c>
      <c r="D6" s="25">
        <f>C10</f>
        <v>761</v>
      </c>
      <c r="E6" s="25">
        <f>D10</f>
        <v>656</v>
      </c>
      <c r="F6" s="25">
        <f>E10</f>
        <v>1195</v>
      </c>
      <c r="G6" s="25">
        <f>F10</f>
        <v>1114</v>
      </c>
      <c r="H6" s="25">
        <f t="shared" ref="H6:L6" si="0">G10</f>
        <v>1061</v>
      </c>
      <c r="I6" s="25">
        <f t="shared" si="0"/>
        <v>983.8</v>
      </c>
      <c r="J6" s="25">
        <f t="shared" si="0"/>
        <v>781.59999999999991</v>
      </c>
      <c r="K6" s="25">
        <f t="shared" si="0"/>
        <v>704.39999999999986</v>
      </c>
      <c r="L6" s="25">
        <f t="shared" si="0"/>
        <v>627.19999999999982</v>
      </c>
    </row>
    <row r="7" spans="2:12">
      <c r="B7" s="6" t="s">
        <v>132</v>
      </c>
      <c r="C7" s="26">
        <f>Historical!D101</f>
        <v>0</v>
      </c>
      <c r="D7" s="26">
        <f>Historical!E101</f>
        <v>0</v>
      </c>
      <c r="E7" s="26">
        <f>Historical!F101</f>
        <v>575</v>
      </c>
      <c r="F7" s="26">
        <f>Historical!G101</f>
        <v>544</v>
      </c>
      <c r="G7" s="26">
        <f>Historical!H101</f>
        <v>0</v>
      </c>
      <c r="H7" s="36">
        <f>SUM(H15,H19,H22,H25,H29,H33)</f>
        <v>0</v>
      </c>
      <c r="I7" s="36">
        <f t="shared" ref="I7:L7" si="1">SUM(I15,I19,I22,I25,I29,I33)</f>
        <v>0</v>
      </c>
      <c r="J7" s="36">
        <f t="shared" si="1"/>
        <v>0</v>
      </c>
      <c r="K7" s="36">
        <f t="shared" si="1"/>
        <v>250</v>
      </c>
      <c r="L7" s="36">
        <f t="shared" si="1"/>
        <v>0</v>
      </c>
    </row>
    <row r="8" spans="2:12">
      <c r="B8" s="6" t="s">
        <v>133</v>
      </c>
      <c r="C8" s="26">
        <f>Historical!D102</f>
        <v>-248</v>
      </c>
      <c r="D8" s="26">
        <f>Historical!E102</f>
        <v>-95</v>
      </c>
      <c r="E8" s="26">
        <f>Historical!F102</f>
        <v>-41</v>
      </c>
      <c r="F8" s="26">
        <f>Historical!G102</f>
        <v>-623</v>
      </c>
      <c r="G8" s="26">
        <f>Historical!H102</f>
        <v>-59</v>
      </c>
      <c r="H8" s="49">
        <f>SUM(H16,H20,H23,H26,H30,H34)</f>
        <v>-77.2</v>
      </c>
      <c r="I8" s="49">
        <f t="shared" ref="I8:L8" si="2">SUM(I16,I20,I23,I26,I30,I34)</f>
        <v>-202.2</v>
      </c>
      <c r="J8" s="49">
        <f t="shared" si="2"/>
        <v>-77.2</v>
      </c>
      <c r="K8" s="49">
        <f t="shared" si="2"/>
        <v>-327.2</v>
      </c>
      <c r="L8" s="49">
        <f t="shared" si="2"/>
        <v>-77.2</v>
      </c>
    </row>
    <row r="9" spans="2:12">
      <c r="B9" s="6" t="s">
        <v>134</v>
      </c>
      <c r="C9" s="25">
        <f>C10-SUM(C6:C8)</f>
        <v>-95</v>
      </c>
      <c r="D9" s="25">
        <f>D10-SUM(D6:D8)</f>
        <v>-10</v>
      </c>
      <c r="E9" s="25">
        <f>E10-SUM(E6:E8)</f>
        <v>5</v>
      </c>
      <c r="F9" s="25">
        <f>F10-SUM(F6:F8)</f>
        <v>-2</v>
      </c>
      <c r="G9" s="25">
        <f>G10-SUM(G6:G8)</f>
        <v>6</v>
      </c>
      <c r="H9" s="29">
        <v>0</v>
      </c>
      <c r="I9" s="29">
        <v>0</v>
      </c>
      <c r="J9" s="29">
        <v>0</v>
      </c>
      <c r="K9" s="29">
        <v>0</v>
      </c>
      <c r="L9" s="29">
        <v>0</v>
      </c>
    </row>
    <row r="10" spans="2:12">
      <c r="B10" s="27" t="s">
        <v>135</v>
      </c>
      <c r="C10" s="28">
        <f>Historical!D132</f>
        <v>761</v>
      </c>
      <c r="D10" s="28">
        <f>Historical!E132</f>
        <v>656</v>
      </c>
      <c r="E10" s="28">
        <f>Historical!F132</f>
        <v>1195</v>
      </c>
      <c r="F10" s="28">
        <f>Historical!G132</f>
        <v>1114</v>
      </c>
      <c r="G10" s="28">
        <f>Historical!H132</f>
        <v>1061</v>
      </c>
      <c r="H10" s="28">
        <f>SUM(H6:H9)</f>
        <v>983.8</v>
      </c>
      <c r="I10" s="28">
        <f t="shared" ref="I10:L10" si="3">SUM(I6:I9)</f>
        <v>781.59999999999991</v>
      </c>
      <c r="J10" s="28">
        <f t="shared" si="3"/>
        <v>704.39999999999986</v>
      </c>
      <c r="K10" s="28">
        <f t="shared" si="3"/>
        <v>627.19999999999982</v>
      </c>
      <c r="L10" s="28">
        <f t="shared" si="3"/>
        <v>549.99999999999977</v>
      </c>
    </row>
    <row r="11" spans="2:12">
      <c r="B11" s="6" t="s">
        <v>211</v>
      </c>
      <c r="C11" s="29"/>
      <c r="D11" s="29"/>
      <c r="E11" s="29"/>
      <c r="F11" s="29"/>
      <c r="G11" s="29">
        <v>50</v>
      </c>
      <c r="H11" s="36">
        <f>SUM(H17,H27,H31,H35)</f>
        <v>51.3735</v>
      </c>
      <c r="I11" s="36">
        <f t="shared" ref="I11:L11" si="4">SUM(I17,I27,I31,I35)</f>
        <v>49.575180000000003</v>
      </c>
      <c r="J11" s="36">
        <f t="shared" si="4"/>
        <v>35.153260000000003</v>
      </c>
      <c r="K11" s="36">
        <f t="shared" si="4"/>
        <v>33.331339999999997</v>
      </c>
      <c r="L11" s="36">
        <f t="shared" si="4"/>
        <v>29.375</v>
      </c>
    </row>
    <row r="12" spans="2:12">
      <c r="C12" s="29"/>
      <c r="D12" s="29"/>
      <c r="E12" s="29"/>
      <c r="F12" s="29"/>
      <c r="G12" s="29"/>
      <c r="H12" s="36"/>
    </row>
    <row r="13" spans="2:12">
      <c r="B13" s="6" t="s">
        <v>202</v>
      </c>
    </row>
    <row r="14" spans="2:12">
      <c r="B14" s="213" t="s">
        <v>208</v>
      </c>
      <c r="C14" s="213"/>
      <c r="D14" s="213"/>
      <c r="E14" s="213"/>
      <c r="F14" s="213"/>
      <c r="G14" s="213"/>
      <c r="H14" s="68"/>
      <c r="I14" s="68"/>
      <c r="J14" s="68"/>
      <c r="K14" s="68"/>
      <c r="L14" s="68"/>
    </row>
    <row r="15" spans="2:12" ht="17">
      <c r="B15" s="50" t="s">
        <v>209</v>
      </c>
      <c r="C15" s="51">
        <v>0</v>
      </c>
      <c r="D15" s="51">
        <v>0</v>
      </c>
      <c r="E15" s="51">
        <v>0</v>
      </c>
      <c r="F15" s="51">
        <v>0</v>
      </c>
      <c r="G15" s="51">
        <v>0</v>
      </c>
      <c r="H15" s="51">
        <v>0</v>
      </c>
      <c r="I15" s="51">
        <v>0</v>
      </c>
      <c r="J15" s="51">
        <v>0</v>
      </c>
      <c r="K15" s="51">
        <v>0</v>
      </c>
      <c r="L15" s="52">
        <v>0</v>
      </c>
    </row>
    <row r="16" spans="2:12" ht="17">
      <c r="B16" s="159" t="s">
        <v>133</v>
      </c>
      <c r="C16" s="66">
        <v>-45</v>
      </c>
      <c r="D16" s="66">
        <v>-48</v>
      </c>
      <c r="E16" s="66">
        <v>-41</v>
      </c>
      <c r="F16" s="66">
        <v>-52</v>
      </c>
      <c r="G16" s="66">
        <v>-59</v>
      </c>
      <c r="H16" s="66">
        <f>-386/5</f>
        <v>-77.2</v>
      </c>
      <c r="I16" s="66">
        <f>-(386+H16)/4</f>
        <v>-77.2</v>
      </c>
      <c r="J16" s="66">
        <f t="shared" ref="J16:L16" si="5">-(386+I16)/4</f>
        <v>-77.2</v>
      </c>
      <c r="K16" s="66">
        <f t="shared" si="5"/>
        <v>-77.2</v>
      </c>
      <c r="L16" s="126">
        <f t="shared" si="5"/>
        <v>-77.2</v>
      </c>
    </row>
    <row r="17" spans="2:12" ht="17">
      <c r="B17" s="53" t="s">
        <v>243</v>
      </c>
      <c r="C17" s="56"/>
      <c r="D17" s="56"/>
      <c r="E17" s="56"/>
      <c r="F17" s="56"/>
      <c r="G17" s="56"/>
      <c r="H17" s="56">
        <f>385*2.36%</f>
        <v>9.0860000000000003</v>
      </c>
      <c r="I17" s="56">
        <f>(386+I16)*2.36%</f>
        <v>7.2876799999999999</v>
      </c>
      <c r="J17" s="56">
        <f>(386+J16+I16)*2.36%</f>
        <v>5.4657600000000004</v>
      </c>
      <c r="K17" s="56">
        <f>(386+K16+J16+I16)*2.36%</f>
        <v>3.6438400000000009</v>
      </c>
      <c r="L17" s="57"/>
    </row>
    <row r="18" spans="2:12">
      <c r="B18" s="22" t="s">
        <v>204</v>
      </c>
    </row>
    <row r="19" spans="2:12" ht="17">
      <c r="B19" s="50" t="s">
        <v>209</v>
      </c>
      <c r="C19" s="51">
        <v>0</v>
      </c>
      <c r="D19" s="51">
        <v>0</v>
      </c>
      <c r="E19" s="51">
        <v>0</v>
      </c>
      <c r="F19" s="51">
        <v>0</v>
      </c>
      <c r="G19" s="51">
        <v>0</v>
      </c>
      <c r="H19" s="51">
        <v>0</v>
      </c>
      <c r="I19" s="51">
        <v>0</v>
      </c>
      <c r="J19" s="51">
        <v>0</v>
      </c>
      <c r="K19" s="51"/>
      <c r="L19" s="52"/>
    </row>
    <row r="20" spans="2:12" ht="17">
      <c r="B20" s="53" t="s">
        <v>133</v>
      </c>
      <c r="C20" s="54">
        <v>0</v>
      </c>
      <c r="D20" s="54">
        <v>0</v>
      </c>
      <c r="E20" s="54">
        <v>0</v>
      </c>
      <c r="F20" s="54">
        <v>0</v>
      </c>
      <c r="G20" s="54">
        <v>0</v>
      </c>
      <c r="H20" s="54">
        <v>0</v>
      </c>
      <c r="I20" s="54">
        <v>0</v>
      </c>
      <c r="J20" s="54">
        <v>0</v>
      </c>
      <c r="K20" s="54"/>
      <c r="L20" s="55"/>
    </row>
    <row r="21" spans="2:12">
      <c r="B21" s="22" t="s">
        <v>203</v>
      </c>
    </row>
    <row r="22" spans="2:12" ht="17">
      <c r="B22" s="50" t="s">
        <v>209</v>
      </c>
      <c r="C22" s="51">
        <v>0</v>
      </c>
      <c r="D22" s="51">
        <v>0</v>
      </c>
      <c r="E22" s="51">
        <v>0</v>
      </c>
      <c r="F22" s="51">
        <v>0</v>
      </c>
      <c r="G22" s="51">
        <v>0</v>
      </c>
      <c r="H22" s="51">
        <v>0</v>
      </c>
      <c r="I22" s="51">
        <v>0</v>
      </c>
      <c r="J22" s="51"/>
      <c r="K22" s="51"/>
      <c r="L22" s="52"/>
    </row>
    <row r="23" spans="2:12" ht="17">
      <c r="B23" s="53" t="s">
        <v>133</v>
      </c>
      <c r="C23" s="54">
        <v>0</v>
      </c>
      <c r="D23" s="54">
        <v>0</v>
      </c>
      <c r="E23" s="54">
        <v>0</v>
      </c>
      <c r="F23" s="54">
        <v>0</v>
      </c>
      <c r="G23" s="54">
        <v>0</v>
      </c>
      <c r="H23" s="54">
        <v>0</v>
      </c>
      <c r="I23" s="54">
        <v>0</v>
      </c>
      <c r="J23" s="54"/>
      <c r="K23" s="54"/>
      <c r="L23" s="55"/>
    </row>
    <row r="24" spans="2:12">
      <c r="B24" s="22" t="s">
        <v>205</v>
      </c>
      <c r="F24" s="36"/>
    </row>
    <row r="25" spans="2:12" ht="17">
      <c r="B25" s="50" t="s">
        <v>209</v>
      </c>
      <c r="C25" s="51">
        <v>0</v>
      </c>
      <c r="D25" s="51">
        <v>0</v>
      </c>
      <c r="E25" s="51">
        <v>0</v>
      </c>
      <c r="F25" s="58">
        <v>250</v>
      </c>
      <c r="G25" s="51">
        <v>0</v>
      </c>
      <c r="H25" s="51">
        <v>0</v>
      </c>
      <c r="I25" s="51">
        <v>0</v>
      </c>
      <c r="J25" s="51">
        <v>0</v>
      </c>
      <c r="K25" s="58">
        <v>250</v>
      </c>
      <c r="L25" s="59"/>
    </row>
    <row r="26" spans="2:12" ht="17">
      <c r="B26" s="159" t="s">
        <v>133</v>
      </c>
      <c r="C26" s="67">
        <v>0</v>
      </c>
      <c r="D26" s="67">
        <v>0</v>
      </c>
      <c r="E26" s="67">
        <v>0</v>
      </c>
      <c r="F26" s="67">
        <v>0</v>
      </c>
      <c r="G26" s="67">
        <v>0</v>
      </c>
      <c r="H26" s="67">
        <v>0</v>
      </c>
      <c r="I26" s="67">
        <v>0</v>
      </c>
      <c r="J26" s="67">
        <v>0</v>
      </c>
      <c r="K26" s="66">
        <v>-250</v>
      </c>
      <c r="L26" s="125"/>
    </row>
    <row r="27" spans="2:12" ht="17">
      <c r="B27" s="53" t="s">
        <v>243</v>
      </c>
      <c r="C27" s="54"/>
      <c r="D27" s="54"/>
      <c r="E27" s="54"/>
      <c r="F27" s="54"/>
      <c r="G27" s="56">
        <f>250*5.125%</f>
        <v>12.8125</v>
      </c>
      <c r="H27" s="56">
        <f>250*5.125%</f>
        <v>12.8125</v>
      </c>
      <c r="I27" s="56">
        <f t="shared" ref="I27:K27" si="6">250*5.125%</f>
        <v>12.8125</v>
      </c>
      <c r="J27" s="56">
        <f t="shared" si="6"/>
        <v>12.8125</v>
      </c>
      <c r="K27" s="56">
        <f t="shared" si="6"/>
        <v>12.8125</v>
      </c>
      <c r="L27" s="57">
        <f>250*5%</f>
        <v>12.5</v>
      </c>
    </row>
    <row r="28" spans="2:12">
      <c r="B28" s="22" t="s">
        <v>206</v>
      </c>
      <c r="F28" s="36"/>
    </row>
    <row r="29" spans="2:12" ht="17">
      <c r="B29" s="50" t="s">
        <v>209</v>
      </c>
      <c r="C29" s="51">
        <v>0</v>
      </c>
      <c r="D29" s="51">
        <v>0</v>
      </c>
      <c r="E29" s="51">
        <v>0</v>
      </c>
      <c r="F29" s="58">
        <v>300</v>
      </c>
      <c r="G29" s="51">
        <v>0</v>
      </c>
      <c r="H29" s="51">
        <v>0</v>
      </c>
      <c r="I29" s="51">
        <v>0</v>
      </c>
      <c r="J29" s="51">
        <v>0</v>
      </c>
      <c r="K29" s="51">
        <v>0</v>
      </c>
      <c r="L29" s="52">
        <v>0</v>
      </c>
    </row>
    <row r="30" spans="2:12" ht="17">
      <c r="B30" s="159" t="s">
        <v>133</v>
      </c>
      <c r="C30" s="67">
        <v>0</v>
      </c>
      <c r="D30" s="67">
        <v>0</v>
      </c>
      <c r="E30" s="67">
        <v>0</v>
      </c>
      <c r="F30" s="67">
        <v>0</v>
      </c>
      <c r="G30" s="67">
        <v>0</v>
      </c>
      <c r="H30" s="67">
        <v>0</v>
      </c>
      <c r="I30" s="67">
        <v>0</v>
      </c>
      <c r="J30" s="67">
        <v>0</v>
      </c>
      <c r="K30" s="67">
        <v>0</v>
      </c>
      <c r="L30" s="160">
        <v>0</v>
      </c>
    </row>
    <row r="31" spans="2:12" ht="17">
      <c r="B31" s="53" t="s">
        <v>243</v>
      </c>
      <c r="C31" s="54"/>
      <c r="D31" s="54"/>
      <c r="E31" s="54"/>
      <c r="F31" s="54"/>
      <c r="G31" s="56">
        <f>300*5.625%</f>
        <v>16.875</v>
      </c>
      <c r="H31" s="56">
        <f t="shared" ref="H31:L31" si="7">300*5.625%</f>
        <v>16.875</v>
      </c>
      <c r="I31" s="56">
        <f t="shared" si="7"/>
        <v>16.875</v>
      </c>
      <c r="J31" s="56">
        <f t="shared" si="7"/>
        <v>16.875</v>
      </c>
      <c r="K31" s="56">
        <f t="shared" si="7"/>
        <v>16.875</v>
      </c>
      <c r="L31" s="57">
        <f t="shared" si="7"/>
        <v>16.875</v>
      </c>
    </row>
    <row r="32" spans="2:12">
      <c r="B32" s="22" t="s">
        <v>207</v>
      </c>
    </row>
    <row r="33" spans="2:12" ht="17">
      <c r="B33" s="50" t="s">
        <v>209</v>
      </c>
      <c r="C33" s="51">
        <v>0</v>
      </c>
      <c r="D33" s="61">
        <v>120</v>
      </c>
      <c r="E33" s="51">
        <v>0</v>
      </c>
      <c r="F33" s="51">
        <v>0</v>
      </c>
      <c r="G33" s="51">
        <v>0</v>
      </c>
      <c r="H33" s="51">
        <v>0</v>
      </c>
      <c r="I33" s="51">
        <v>0</v>
      </c>
      <c r="J33" s="61"/>
      <c r="K33" s="61"/>
      <c r="L33" s="59"/>
    </row>
    <row r="34" spans="2:12" ht="17">
      <c r="B34" s="159" t="s">
        <v>133</v>
      </c>
      <c r="C34" s="67">
        <v>0</v>
      </c>
      <c r="D34" s="66">
        <v>-175</v>
      </c>
      <c r="E34" s="67">
        <v>0</v>
      </c>
      <c r="F34" s="67">
        <v>0</v>
      </c>
      <c r="G34" s="67">
        <v>0</v>
      </c>
      <c r="H34" s="67">
        <v>0</v>
      </c>
      <c r="I34" s="66">
        <v>-125</v>
      </c>
      <c r="J34" s="68"/>
      <c r="K34" s="68"/>
      <c r="L34" s="125"/>
    </row>
    <row r="35" spans="2:12">
      <c r="B35" s="122" t="s">
        <v>243</v>
      </c>
      <c r="C35" s="62"/>
      <c r="D35" s="62"/>
      <c r="E35" s="56">
        <f>120*10.5%</f>
        <v>12.6</v>
      </c>
      <c r="F35" s="56">
        <f t="shared" ref="F35:I35" si="8">120*10.5%</f>
        <v>12.6</v>
      </c>
      <c r="G35" s="56">
        <f t="shared" si="8"/>
        <v>12.6</v>
      </c>
      <c r="H35" s="56">
        <f t="shared" si="8"/>
        <v>12.6</v>
      </c>
      <c r="I35" s="56">
        <f t="shared" si="8"/>
        <v>12.6</v>
      </c>
      <c r="J35" s="62"/>
      <c r="K35" s="62"/>
      <c r="L35" s="60"/>
    </row>
    <row r="36" spans="2:12">
      <c r="E36" s="36"/>
      <c r="F36" s="36"/>
      <c r="G36" s="36"/>
      <c r="H36" s="36"/>
      <c r="I36" s="36"/>
    </row>
    <row r="37" spans="2:12">
      <c r="B37" s="22" t="s">
        <v>210</v>
      </c>
      <c r="C37" s="22"/>
      <c r="D37" s="22"/>
      <c r="E37" s="22"/>
      <c r="F37" s="22"/>
      <c r="G37" s="22"/>
      <c r="H37" s="161">
        <f>386+H16</f>
        <v>308.8</v>
      </c>
      <c r="I37" s="161">
        <f>H37+I16</f>
        <v>231.60000000000002</v>
      </c>
      <c r="J37" s="161">
        <f t="shared" ref="J37:L37" si="9">I37+J16</f>
        <v>154.40000000000003</v>
      </c>
      <c r="K37" s="161">
        <f t="shared" si="9"/>
        <v>77.200000000000031</v>
      </c>
      <c r="L37" s="161">
        <f t="shared" si="9"/>
        <v>0</v>
      </c>
    </row>
    <row r="38" spans="2:12">
      <c r="B38" s="22" t="s">
        <v>231</v>
      </c>
      <c r="C38" s="22"/>
      <c r="D38" s="22"/>
      <c r="E38" s="22"/>
      <c r="F38" s="22"/>
      <c r="G38" s="22"/>
      <c r="H38" s="161">
        <f>F25+F29+D33+H37</f>
        <v>978.8</v>
      </c>
      <c r="I38" s="161">
        <f>F25+F29+I37</f>
        <v>781.6</v>
      </c>
      <c r="J38" s="161">
        <f>F25+F29+J37</f>
        <v>704.40000000000009</v>
      </c>
      <c r="K38" s="161">
        <f>F29+K25+K37</f>
        <v>627.20000000000005</v>
      </c>
      <c r="L38" s="161">
        <f>F29+K25</f>
        <v>550</v>
      </c>
    </row>
    <row r="39" spans="2:12">
      <c r="H39" s="49"/>
      <c r="I39" s="49"/>
      <c r="J39" s="49"/>
      <c r="K39" s="49"/>
      <c r="L39" s="49"/>
    </row>
    <row r="40" spans="2:12">
      <c r="C40" s="23"/>
      <c r="D40" s="23"/>
      <c r="E40" s="23"/>
      <c r="F40" s="23"/>
      <c r="G40" s="23"/>
    </row>
    <row r="41" spans="2:12" ht="20">
      <c r="B41" s="212" t="s">
        <v>136</v>
      </c>
      <c r="C41" s="212"/>
      <c r="D41" s="212"/>
      <c r="E41" s="212"/>
      <c r="F41" s="212"/>
      <c r="G41" s="212"/>
      <c r="H41" s="141"/>
      <c r="I41" s="141"/>
      <c r="J41" s="141"/>
      <c r="K41" s="141"/>
      <c r="L41" s="141"/>
    </row>
    <row r="42" spans="2:12">
      <c r="B42" s="6" t="s">
        <v>137</v>
      </c>
      <c r="C42" s="24">
        <v>5834</v>
      </c>
      <c r="D42" s="25">
        <f>C45</f>
        <v>6621</v>
      </c>
      <c r="E42" s="25">
        <f>D45</f>
        <v>6489</v>
      </c>
      <c r="F42" s="25">
        <f>E45</f>
        <v>5354</v>
      </c>
      <c r="G42" s="25">
        <f>F45</f>
        <v>5494</v>
      </c>
      <c r="H42" s="25">
        <f>G45-300</f>
        <v>5240</v>
      </c>
      <c r="I42" s="25">
        <f t="shared" ref="H42:L42" si="10">H45</f>
        <v>5179.2000000000007</v>
      </c>
      <c r="J42" s="25">
        <f t="shared" si="10"/>
        <v>5113.5360000000001</v>
      </c>
      <c r="K42" s="25">
        <f t="shared" si="10"/>
        <v>5042.61888</v>
      </c>
      <c r="L42" s="25">
        <f t="shared" si="10"/>
        <v>4966.0283904000007</v>
      </c>
    </row>
    <row r="43" spans="2:12">
      <c r="B43" s="6" t="s">
        <v>138</v>
      </c>
      <c r="C43" s="26">
        <f>-(C47-C48)</f>
        <v>-493</v>
      </c>
      <c r="D43" s="26">
        <f t="shared" ref="D43:L43" si="11">-(D47-D48)</f>
        <v>-514</v>
      </c>
      <c r="E43" s="26">
        <f t="shared" si="11"/>
        <v>-507</v>
      </c>
      <c r="F43" s="26">
        <f t="shared" si="11"/>
        <v>-487</v>
      </c>
      <c r="G43" s="26">
        <f t="shared" si="11"/>
        <v>-504</v>
      </c>
      <c r="H43" s="26">
        <f t="shared" si="11"/>
        <v>-490.4</v>
      </c>
      <c r="I43" s="26">
        <f t="shared" si="11"/>
        <v>-492.83199999999999</v>
      </c>
      <c r="J43" s="26">
        <f t="shared" si="11"/>
        <v>-495.45856000000003</v>
      </c>
      <c r="K43" s="26">
        <f t="shared" si="11"/>
        <v>-498.29524479999998</v>
      </c>
      <c r="L43" s="26">
        <f t="shared" si="11"/>
        <v>-501.35886438399996</v>
      </c>
    </row>
    <row r="44" spans="2:12">
      <c r="B44" s="6" t="s">
        <v>139</v>
      </c>
      <c r="C44" s="25">
        <f>C45-SUM(C42:C43)</f>
        <v>1280</v>
      </c>
      <c r="D44" s="25">
        <f>D45-SUM(D42:D43)</f>
        <v>382</v>
      </c>
      <c r="E44" s="25">
        <f>E45-SUM(E42:E43)</f>
        <v>-628</v>
      </c>
      <c r="F44" s="25">
        <f>F45-SUM(F42:F43)</f>
        <v>627</v>
      </c>
      <c r="G44" s="25">
        <f>G45-SUM(G42:G43)</f>
        <v>550</v>
      </c>
      <c r="H44" s="36">
        <f>220+H48</f>
        <v>429.6</v>
      </c>
      <c r="I44" s="36">
        <f t="shared" ref="I44:L44" si="12">220+I48</f>
        <v>427.16800000000001</v>
      </c>
      <c r="J44" s="36">
        <f t="shared" si="12"/>
        <v>424.54143999999997</v>
      </c>
      <c r="K44" s="36">
        <f t="shared" si="12"/>
        <v>421.70475520000002</v>
      </c>
      <c r="L44" s="36">
        <f t="shared" si="12"/>
        <v>418.64113561600004</v>
      </c>
    </row>
    <row r="45" spans="2:12">
      <c r="B45" s="27" t="s">
        <v>140</v>
      </c>
      <c r="C45" s="28">
        <f>Historical!D133</f>
        <v>6621</v>
      </c>
      <c r="D45" s="28">
        <f>Historical!E133</f>
        <v>6489</v>
      </c>
      <c r="E45" s="28">
        <f>Historical!F133</f>
        <v>5354</v>
      </c>
      <c r="F45" s="28">
        <f>Historical!G133</f>
        <v>5494</v>
      </c>
      <c r="G45" s="28">
        <f>Historical!H133</f>
        <v>5540</v>
      </c>
      <c r="H45" s="28">
        <f>SUM(H42:H44)</f>
        <v>5179.2000000000007</v>
      </c>
      <c r="I45" s="28">
        <f t="shared" ref="I45:L45" si="13">SUM(I42:I44)</f>
        <v>5113.5360000000001</v>
      </c>
      <c r="J45" s="28">
        <f t="shared" si="13"/>
        <v>5042.61888</v>
      </c>
      <c r="K45" s="28">
        <f t="shared" si="13"/>
        <v>4966.0283904000007</v>
      </c>
      <c r="L45" s="28">
        <f t="shared" si="13"/>
        <v>4883.3106616320001</v>
      </c>
    </row>
    <row r="46" spans="2:12">
      <c r="B46" s="6" t="s">
        <v>141</v>
      </c>
      <c r="C46" s="30">
        <f>IFERROR(C45/Historical!D126,"")</f>
        <v>2.7866161616161618</v>
      </c>
      <c r="D46" s="30">
        <f>IFERROR(D45/Historical!E126,"")</f>
        <v>3.6661016949152541</v>
      </c>
      <c r="E46" s="30">
        <f>IFERROR(E45/Historical!F126,"")</f>
        <v>2.8119747899159662</v>
      </c>
      <c r="F46" s="30">
        <f>IFERROR(F45/Historical!G126,"")</f>
        <v>2.6099762470308789</v>
      </c>
      <c r="G46" s="30">
        <f>IFERROR(G45/Historical!H126,"")</f>
        <v>2.5948477751756442</v>
      </c>
      <c r="H46" s="30">
        <f>IFERROR(H45/Historical!I126,"")</f>
        <v>2.7682601513455243</v>
      </c>
      <c r="I46" s="30">
        <f>IFERROR(I45/Historical!J126,"")</f>
        <v>2.592900606041797</v>
      </c>
      <c r="J46" s="30">
        <f>IFERROR(J45/Historical!K126,"")</f>
        <v>2.4474830898452531</v>
      </c>
      <c r="K46" s="30">
        <f>IFERROR(K45/Historical!L126,"")</f>
        <v>2.3238913378349499</v>
      </c>
      <c r="L46" s="30">
        <f>IFERROR(L45/Historical!M126,"")</f>
        <v>2.1704465427817072</v>
      </c>
    </row>
    <row r="47" spans="2:12">
      <c r="B47" s="6" t="s">
        <v>212</v>
      </c>
      <c r="C47" s="63">
        <v>774</v>
      </c>
      <c r="D47" s="63">
        <v>781</v>
      </c>
      <c r="E47" s="63">
        <v>771</v>
      </c>
      <c r="F47" s="63">
        <v>759</v>
      </c>
      <c r="G47" s="63">
        <v>782</v>
      </c>
      <c r="H47" s="6">
        <v>700</v>
      </c>
      <c r="I47" s="6">
        <v>700</v>
      </c>
      <c r="J47" s="6">
        <v>700</v>
      </c>
      <c r="K47" s="6">
        <v>700</v>
      </c>
      <c r="L47" s="6">
        <v>700</v>
      </c>
    </row>
    <row r="48" spans="2:12">
      <c r="B48" s="6" t="s">
        <v>211</v>
      </c>
      <c r="C48" s="29">
        <v>281</v>
      </c>
      <c r="D48" s="29">
        <v>267</v>
      </c>
      <c r="E48" s="29">
        <v>264</v>
      </c>
      <c r="F48" s="29">
        <v>272</v>
      </c>
      <c r="G48" s="29">
        <v>278</v>
      </c>
      <c r="H48" s="36">
        <f>H42*4%</f>
        <v>209.6</v>
      </c>
      <c r="I48" s="36">
        <f t="shared" ref="I48:L48" si="14">I42*4%</f>
        <v>207.16800000000003</v>
      </c>
      <c r="J48" s="36">
        <f t="shared" si="14"/>
        <v>204.54143999999999</v>
      </c>
      <c r="K48" s="36">
        <f t="shared" si="14"/>
        <v>201.70475519999999</v>
      </c>
      <c r="L48" s="36">
        <f t="shared" si="14"/>
        <v>198.64113561600004</v>
      </c>
    </row>
    <row r="49" spans="2:12">
      <c r="C49" s="40"/>
      <c r="D49" s="40"/>
      <c r="E49" s="40"/>
      <c r="F49" s="40"/>
      <c r="G49" s="40"/>
      <c r="H49" s="40"/>
      <c r="I49" s="40"/>
      <c r="J49" s="40"/>
      <c r="K49" s="40"/>
      <c r="L49" s="40"/>
    </row>
    <row r="50" spans="2:12">
      <c r="B50" s="22" t="s">
        <v>229</v>
      </c>
      <c r="C50" s="162">
        <f>Historical!D55</f>
        <v>526</v>
      </c>
      <c r="D50" s="162">
        <f>Historical!E55</f>
        <v>1533</v>
      </c>
      <c r="E50" s="162">
        <f>Historical!F55</f>
        <v>515</v>
      </c>
      <c r="F50" s="162">
        <f>Historical!G55</f>
        <v>483</v>
      </c>
      <c r="G50" s="162">
        <f>Historical!H55</f>
        <v>505</v>
      </c>
      <c r="H50" s="65">
        <f>-H43+1</f>
        <v>491.4</v>
      </c>
      <c r="I50" s="65">
        <f t="shared" ref="I50:L50" si="15">-I43+1</f>
        <v>493.83199999999999</v>
      </c>
      <c r="J50" s="65">
        <f t="shared" si="15"/>
        <v>496.45856000000003</v>
      </c>
      <c r="K50" s="65">
        <f t="shared" si="15"/>
        <v>499.29524479999998</v>
      </c>
      <c r="L50" s="65">
        <f t="shared" si="15"/>
        <v>502.35886438399996</v>
      </c>
    </row>
    <row r="51" spans="2:12">
      <c r="B51" s="22" t="s">
        <v>230</v>
      </c>
      <c r="C51" s="162">
        <f>Historical!D66</f>
        <v>6095</v>
      </c>
      <c r="D51" s="162">
        <f>Historical!E66</f>
        <v>4956</v>
      </c>
      <c r="E51" s="162">
        <f>Historical!F66</f>
        <v>4839</v>
      </c>
      <c r="F51" s="162">
        <f>Historical!G66</f>
        <v>5011</v>
      </c>
      <c r="G51" s="162">
        <f>Historical!H66</f>
        <v>5035</v>
      </c>
      <c r="H51" s="65">
        <f>H45-H50</f>
        <v>4687.8000000000011</v>
      </c>
      <c r="I51" s="65">
        <f t="shared" ref="I51:L51" si="16">I45-I50</f>
        <v>4619.7039999999997</v>
      </c>
      <c r="J51" s="65">
        <f t="shared" si="16"/>
        <v>4546.16032</v>
      </c>
      <c r="K51" s="65">
        <f t="shared" si="16"/>
        <v>4466.7331456000011</v>
      </c>
      <c r="L51" s="65">
        <f t="shared" si="16"/>
        <v>4380.9517972479998</v>
      </c>
    </row>
    <row r="52" spans="2:12">
      <c r="C52" s="29"/>
      <c r="D52" s="29"/>
      <c r="E52" s="29"/>
      <c r="F52" s="29"/>
      <c r="G52" s="29"/>
      <c r="H52" s="36"/>
      <c r="I52" s="36"/>
      <c r="J52" s="36"/>
      <c r="K52" s="36"/>
      <c r="L52" s="36"/>
    </row>
    <row r="53" spans="2:12">
      <c r="C53" s="29"/>
      <c r="D53" s="29"/>
      <c r="E53" s="29"/>
      <c r="F53" s="29"/>
      <c r="G53" s="29"/>
      <c r="H53" s="36"/>
      <c r="I53" s="36"/>
      <c r="J53" s="36"/>
      <c r="K53" s="36"/>
      <c r="L53" s="36"/>
    </row>
    <row r="54" spans="2:12" ht="20">
      <c r="B54" s="212" t="s">
        <v>228</v>
      </c>
      <c r="C54" s="212"/>
      <c r="D54" s="212"/>
      <c r="E54" s="212"/>
      <c r="F54" s="212"/>
      <c r="G54" s="212"/>
      <c r="H54" s="141"/>
      <c r="I54" s="141"/>
      <c r="J54" s="141"/>
      <c r="K54" s="141"/>
      <c r="L54" s="141"/>
    </row>
    <row r="55" spans="2:12">
      <c r="B55" s="6" t="s">
        <v>222</v>
      </c>
      <c r="C55" s="29">
        <v>4747</v>
      </c>
      <c r="D55" s="29">
        <f>C60</f>
        <v>5560</v>
      </c>
      <c r="E55" s="29">
        <f t="shared" ref="E55:L55" si="17">D60</f>
        <v>5345</v>
      </c>
      <c r="F55" s="29">
        <f t="shared" si="17"/>
        <v>4296</v>
      </c>
      <c r="G55" s="29">
        <f t="shared" si="17"/>
        <v>4455</v>
      </c>
      <c r="H55" s="29">
        <f t="shared" si="17"/>
        <v>4486</v>
      </c>
      <c r="I55" s="29">
        <f t="shared" si="17"/>
        <v>4167.68</v>
      </c>
      <c r="J55" s="29">
        <f t="shared" si="17"/>
        <v>3887.5584000000003</v>
      </c>
      <c r="K55" s="29">
        <f t="shared" si="17"/>
        <v>3641.0513919999999</v>
      </c>
      <c r="L55" s="29">
        <f t="shared" si="17"/>
        <v>3424.1252249599997</v>
      </c>
    </row>
    <row r="56" spans="2:12">
      <c r="B56" s="6" t="s">
        <v>223</v>
      </c>
      <c r="C56" s="29">
        <v>1294</v>
      </c>
      <c r="D56" s="29">
        <v>398</v>
      </c>
      <c r="E56" s="29">
        <v>438</v>
      </c>
      <c r="F56" s="29">
        <v>676</v>
      </c>
      <c r="G56" s="29">
        <v>572</v>
      </c>
      <c r="H56" s="36">
        <f>220</f>
        <v>220</v>
      </c>
      <c r="I56" s="36">
        <f>220</f>
        <v>220</v>
      </c>
      <c r="J56" s="36">
        <f>220</f>
        <v>220</v>
      </c>
      <c r="K56" s="36">
        <f>220</f>
        <v>220</v>
      </c>
      <c r="L56" s="36">
        <f>220</f>
        <v>220</v>
      </c>
    </row>
    <row r="57" spans="2:12">
      <c r="B57" s="6" t="s">
        <v>224</v>
      </c>
      <c r="C57" s="29">
        <v>3</v>
      </c>
      <c r="D57" s="29">
        <v>143</v>
      </c>
      <c r="E57" s="29">
        <v>6</v>
      </c>
      <c r="F57" s="29">
        <v>16</v>
      </c>
      <c r="G57" s="29">
        <v>11</v>
      </c>
      <c r="H57" s="36">
        <v>0</v>
      </c>
      <c r="I57" s="36">
        <v>0</v>
      </c>
      <c r="J57" s="36">
        <v>0</v>
      </c>
      <c r="K57" s="36">
        <v>0</v>
      </c>
      <c r="L57" s="36">
        <v>0</v>
      </c>
    </row>
    <row r="58" spans="2:12">
      <c r="B58" s="6" t="s">
        <v>225</v>
      </c>
      <c r="C58" s="29">
        <v>478</v>
      </c>
      <c r="D58" s="29">
        <v>470</v>
      </c>
      <c r="E58" s="29">
        <v>450</v>
      </c>
      <c r="F58" s="29">
        <v>501</v>
      </c>
      <c r="G58" s="29">
        <v>530</v>
      </c>
      <c r="H58" s="36">
        <f>H55*12%</f>
        <v>538.31999999999994</v>
      </c>
      <c r="I58" s="36">
        <f t="shared" ref="I58:L58" si="18">I55*12%</f>
        <v>500.1216</v>
      </c>
      <c r="J58" s="36">
        <f t="shared" si="18"/>
        <v>466.50700800000004</v>
      </c>
      <c r="K58" s="36">
        <f t="shared" si="18"/>
        <v>436.92616703999994</v>
      </c>
      <c r="L58" s="36">
        <f t="shared" si="18"/>
        <v>410.89502699519994</v>
      </c>
    </row>
    <row r="59" spans="2:12">
      <c r="B59" s="6" t="s">
        <v>227</v>
      </c>
      <c r="C59" s="29">
        <v>0</v>
      </c>
      <c r="D59" s="29">
        <v>0</v>
      </c>
      <c r="E59" s="29">
        <v>1031</v>
      </c>
      <c r="F59" s="29">
        <v>0</v>
      </c>
      <c r="G59" s="29">
        <v>0</v>
      </c>
      <c r="H59" s="36">
        <v>0</v>
      </c>
      <c r="I59" s="36">
        <v>0</v>
      </c>
      <c r="J59" s="36">
        <v>0</v>
      </c>
      <c r="K59" s="36">
        <v>0</v>
      </c>
      <c r="L59" s="36">
        <v>0</v>
      </c>
    </row>
    <row r="60" spans="2:12">
      <c r="B60" s="61" t="s">
        <v>226</v>
      </c>
      <c r="C60" s="64">
        <f>C55+C56-C57-C58</f>
        <v>5560</v>
      </c>
      <c r="D60" s="64">
        <f t="shared" ref="D60:L60" si="19">D55+D56-D57-D58</f>
        <v>5345</v>
      </c>
      <c r="E60" s="64">
        <f>E55+E56-E57-E58-E59</f>
        <v>4296</v>
      </c>
      <c r="F60" s="64">
        <f t="shared" si="19"/>
        <v>4455</v>
      </c>
      <c r="G60" s="64">
        <f t="shared" si="19"/>
        <v>4486</v>
      </c>
      <c r="H60" s="64">
        <f t="shared" si="19"/>
        <v>4167.68</v>
      </c>
      <c r="I60" s="64">
        <f t="shared" si="19"/>
        <v>3887.5584000000003</v>
      </c>
      <c r="J60" s="64">
        <f t="shared" si="19"/>
        <v>3641.0513919999999</v>
      </c>
      <c r="K60" s="64">
        <f t="shared" si="19"/>
        <v>3424.1252249599997</v>
      </c>
      <c r="L60" s="64">
        <f t="shared" si="19"/>
        <v>3233.2301979648</v>
      </c>
    </row>
    <row r="61" spans="2:12">
      <c r="C61" s="40"/>
      <c r="D61" s="40"/>
      <c r="E61" s="40"/>
      <c r="F61" s="40"/>
      <c r="G61" s="40"/>
      <c r="H61" s="36"/>
      <c r="I61" s="36"/>
      <c r="J61" s="36"/>
      <c r="K61" s="36"/>
      <c r="L61" s="36"/>
    </row>
    <row r="62" spans="2:12">
      <c r="C62" s="40"/>
      <c r="D62" s="40"/>
      <c r="E62" s="40"/>
      <c r="F62" s="40"/>
      <c r="G62" s="40"/>
    </row>
    <row r="63" spans="2:12" ht="20">
      <c r="B63" s="212" t="s">
        <v>142</v>
      </c>
      <c r="C63" s="212"/>
      <c r="D63" s="212"/>
      <c r="E63" s="212"/>
      <c r="F63" s="212"/>
      <c r="G63" s="212"/>
      <c r="H63" s="141"/>
      <c r="I63" s="141"/>
      <c r="J63" s="141"/>
      <c r="K63" s="141"/>
      <c r="L63" s="141"/>
    </row>
    <row r="64" spans="2:12">
      <c r="B64" s="6" t="s">
        <v>40</v>
      </c>
      <c r="C64" s="26">
        <f>Historical!D41</f>
        <v>1797</v>
      </c>
      <c r="D64" s="26">
        <f>Historical!E41</f>
        <v>1899</v>
      </c>
      <c r="E64" s="26">
        <f>Historical!F41</f>
        <v>1927</v>
      </c>
      <c r="F64" s="26">
        <f>Historical!G41</f>
        <v>1946</v>
      </c>
      <c r="G64" s="26">
        <f>Historical!H41</f>
        <v>1987</v>
      </c>
      <c r="H64" s="36">
        <f>-Historical!I9*Assumptions!F48/365</f>
        <v>1515.3502597260276</v>
      </c>
      <c r="I64" s="36">
        <f>-Historical!J9*Assumptions!G48/365</f>
        <v>1377.9644517567124</v>
      </c>
      <c r="J64" s="36">
        <f>-Historical!K9*Assumptions!H48/365</f>
        <v>1237.5616547541499</v>
      </c>
      <c r="K64" s="36">
        <f>-Historical!L9*Assumptions!I48/365</f>
        <v>1211.9713123201157</v>
      </c>
      <c r="L64" s="36">
        <f>-Historical!M9*Assumptions!J48/365</f>
        <v>1186.738094820739</v>
      </c>
    </row>
    <row r="65" spans="2:12">
      <c r="B65" s="6" t="s">
        <v>41</v>
      </c>
      <c r="C65" s="26">
        <f>Historical!D42</f>
        <v>683</v>
      </c>
      <c r="D65" s="26">
        <f>Historical!E42</f>
        <v>627</v>
      </c>
      <c r="E65" s="26">
        <f>Historical!F42</f>
        <v>582</v>
      </c>
      <c r="F65" s="26">
        <f>Historical!G42</f>
        <v>572</v>
      </c>
      <c r="G65" s="26">
        <f>Historical!H42</f>
        <v>431</v>
      </c>
      <c r="H65" s="36">
        <f>Historical!I7*Assumptions!F49/365</f>
        <v>405.60767123287667</v>
      </c>
      <c r="I65" s="36">
        <f>Historical!J7*Assumptions!G49/365</f>
        <v>410.47496328767124</v>
      </c>
      <c r="J65" s="36">
        <f>Historical!K7*Assumptions!H49/365</f>
        <v>415.40066284712327</v>
      </c>
      <c r="K65" s="36">
        <f>Historical!L7*Assumptions!I49/365</f>
        <v>420.38547080128882</v>
      </c>
      <c r="L65" s="36">
        <f>Historical!M7*Assumptions!J49/365</f>
        <v>426.27086739250683</v>
      </c>
    </row>
    <row r="66" spans="2:12">
      <c r="B66" s="6" t="s">
        <v>143</v>
      </c>
      <c r="C66" s="26">
        <f>-Historical!D52</f>
        <v>-4546</v>
      </c>
      <c r="D66" s="26">
        <f>-Historical!E52</f>
        <v>-4837</v>
      </c>
      <c r="E66" s="26">
        <f>-Historical!F52</f>
        <v>-5091</v>
      </c>
      <c r="F66" s="26">
        <f>-Historical!G52</f>
        <v>-5489</v>
      </c>
      <c r="G66" s="26">
        <f>-Historical!H52</f>
        <v>-5565</v>
      </c>
      <c r="H66" s="36">
        <f>Historical!I9*Assumptions!F50/365</f>
        <v>-4849.1208311232876</v>
      </c>
      <c r="I66" s="36">
        <f>Historical!J9*Assumptions!G50/365</f>
        <v>-4899.4291618016441</v>
      </c>
      <c r="J66" s="36">
        <f>Historical!K9*Assumptions!H50/365</f>
        <v>-4950.2466190165997</v>
      </c>
      <c r="K66" s="36">
        <f>Historical!L9*Assumptions!I50/365</f>
        <v>-5004.268644418542</v>
      </c>
      <c r="L66" s="36">
        <f>Historical!M9*Assumptions!J50/365</f>
        <v>-5063.4158712351536</v>
      </c>
    </row>
    <row r="67" spans="2:12">
      <c r="B67" s="6" t="s">
        <v>58</v>
      </c>
      <c r="C67" s="26">
        <f>-Historical!D59</f>
        <v>-100</v>
      </c>
      <c r="D67" s="26">
        <f>-Historical!E59</f>
        <v>-140</v>
      </c>
      <c r="E67" s="26">
        <f>-Historical!F59</f>
        <v>-113</v>
      </c>
      <c r="F67" s="26">
        <f>-Historical!G59</f>
        <v>-230</v>
      </c>
      <c r="G67" s="26">
        <f>-Historical!H59</f>
        <v>-140</v>
      </c>
      <c r="H67" s="36">
        <f>Assumptions!F51</f>
        <v>-130</v>
      </c>
      <c r="I67" s="36">
        <f>Assumptions!G51</f>
        <v>-120</v>
      </c>
      <c r="J67" s="36">
        <f>Assumptions!H51</f>
        <v>-110</v>
      </c>
      <c r="K67" s="36">
        <f>Assumptions!I51</f>
        <v>-110</v>
      </c>
      <c r="L67" s="36">
        <f>Assumptions!J51</f>
        <v>-110</v>
      </c>
    </row>
    <row r="68" spans="2:12">
      <c r="B68" s="27" t="s">
        <v>144</v>
      </c>
      <c r="C68" s="31">
        <f>SUM(C64:C67)</f>
        <v>-2166</v>
      </c>
      <c r="D68" s="31">
        <f t="shared" ref="D68:G68" si="20">SUM(D64:D67)</f>
        <v>-2451</v>
      </c>
      <c r="E68" s="31">
        <f t="shared" si="20"/>
        <v>-2695</v>
      </c>
      <c r="F68" s="31">
        <f t="shared" si="20"/>
        <v>-3201</v>
      </c>
      <c r="G68" s="31">
        <f t="shared" si="20"/>
        <v>-3287</v>
      </c>
      <c r="H68" s="31">
        <f t="shared" ref="H68" si="21">SUM(H64:H67)</f>
        <v>-3058.1629001643832</v>
      </c>
      <c r="I68" s="31">
        <f t="shared" ref="I68" si="22">SUM(I64:I67)</f>
        <v>-3230.9897467572605</v>
      </c>
      <c r="J68" s="31">
        <f t="shared" ref="J68" si="23">SUM(J64:J67)</f>
        <v>-3407.2843014153264</v>
      </c>
      <c r="K68" s="31">
        <f t="shared" ref="K68" si="24">SUM(K64:K67)</f>
        <v>-3481.9118612971374</v>
      </c>
      <c r="L68" s="31">
        <f t="shared" ref="L68" si="25">SUM(L64:L67)</f>
        <v>-3560.4069090219077</v>
      </c>
    </row>
    <row r="69" spans="2:12">
      <c r="B69" s="6" t="s">
        <v>327</v>
      </c>
      <c r="C69" s="32"/>
      <c r="D69" s="63">
        <f>D68-C68</f>
        <v>-285</v>
      </c>
      <c r="E69" s="63">
        <f t="shared" ref="E69:L69" si="26">E68-D68</f>
        <v>-244</v>
      </c>
      <c r="F69" s="63">
        <f t="shared" si="26"/>
        <v>-506</v>
      </c>
      <c r="G69" s="63">
        <f t="shared" si="26"/>
        <v>-86</v>
      </c>
      <c r="H69" s="63">
        <f t="shared" si="26"/>
        <v>228.83709983561675</v>
      </c>
      <c r="I69" s="63">
        <f t="shared" si="26"/>
        <v>-172.82684659287725</v>
      </c>
      <c r="J69" s="63">
        <f t="shared" si="26"/>
        <v>-176.29455465806586</v>
      </c>
      <c r="K69" s="63">
        <f t="shared" si="26"/>
        <v>-74.627559881811067</v>
      </c>
      <c r="L69" s="63">
        <f t="shared" si="26"/>
        <v>-78.495047724770302</v>
      </c>
    </row>
    <row r="70" spans="2:12">
      <c r="C70" s="32"/>
      <c r="D70" s="32"/>
      <c r="E70" s="32"/>
      <c r="F70" s="32"/>
      <c r="G70" s="32"/>
      <c r="H70" s="32"/>
      <c r="I70" s="32"/>
      <c r="J70" s="32"/>
      <c r="K70" s="32"/>
      <c r="L70" s="32"/>
    </row>
    <row r="72" spans="2:12" ht="20">
      <c r="B72" s="212" t="s">
        <v>213</v>
      </c>
      <c r="C72" s="212"/>
      <c r="D72" s="212"/>
      <c r="E72" s="212"/>
      <c r="F72" s="212"/>
      <c r="G72" s="212"/>
      <c r="H72" s="141"/>
      <c r="I72" s="141"/>
      <c r="J72" s="141"/>
      <c r="K72" s="141"/>
      <c r="L72" s="141"/>
    </row>
    <row r="73" spans="2:12">
      <c r="B73" s="6" t="s">
        <v>214</v>
      </c>
      <c r="C73" s="36">
        <v>9740</v>
      </c>
      <c r="D73" s="49">
        <f>C76</f>
        <v>9365</v>
      </c>
      <c r="E73" s="49">
        <f>D76</f>
        <v>9067</v>
      </c>
      <c r="F73" s="49">
        <f>E76</f>
        <v>9638</v>
      </c>
      <c r="G73" s="49">
        <f>F76</f>
        <v>9430</v>
      </c>
      <c r="H73" s="49">
        <f t="shared" ref="H73:L73" si="27">G76</f>
        <v>9234</v>
      </c>
      <c r="I73" s="49">
        <f t="shared" si="27"/>
        <v>9042.75</v>
      </c>
      <c r="J73" s="49">
        <f t="shared" si="27"/>
        <v>8851.5</v>
      </c>
      <c r="K73" s="49">
        <f t="shared" si="27"/>
        <v>8660.25</v>
      </c>
      <c r="L73" s="49">
        <f t="shared" si="27"/>
        <v>8469</v>
      </c>
    </row>
    <row r="74" spans="2:12" ht="17">
      <c r="B74" s="48" t="s">
        <v>215</v>
      </c>
      <c r="C74" s="36">
        <f>-Historical!D93-Historical!D95</f>
        <v>694</v>
      </c>
      <c r="D74" s="36">
        <f>-Historical!E93-Historical!E95</f>
        <v>738</v>
      </c>
      <c r="E74" s="36">
        <f>-Historical!F93-Historical!F95</f>
        <v>1559</v>
      </c>
      <c r="F74" s="36">
        <f>-Historical!G93-Historical!G95</f>
        <v>825</v>
      </c>
      <c r="G74" s="36">
        <f>-Historical!H93-Historical!H95</f>
        <v>843</v>
      </c>
      <c r="H74" s="163">
        <f>-SUM(Historical!I93:I95)</f>
        <v>828.75</v>
      </c>
      <c r="I74" s="163">
        <f>-SUM(Historical!J93:J95)</f>
        <v>828.75</v>
      </c>
      <c r="J74" s="163">
        <f>-SUM(Historical!K93:K95)</f>
        <v>828.75</v>
      </c>
      <c r="K74" s="163">
        <f>-SUM(Historical!L93:L95)</f>
        <v>828.75</v>
      </c>
      <c r="L74" s="163">
        <f>-SUM(Historical!M93:M95)</f>
        <v>828.75</v>
      </c>
    </row>
    <row r="75" spans="2:12" ht="17">
      <c r="B75" s="33" t="s">
        <v>216</v>
      </c>
      <c r="C75" s="36">
        <v>1069</v>
      </c>
      <c r="D75" s="36">
        <v>1036</v>
      </c>
      <c r="E75" s="36">
        <v>988</v>
      </c>
      <c r="F75" s="36">
        <v>1033</v>
      </c>
      <c r="G75" s="36">
        <v>1039</v>
      </c>
      <c r="H75" s="36">
        <f>Historical!I86*85%</f>
        <v>1020</v>
      </c>
      <c r="I75" s="36">
        <f>Historical!J86*85%</f>
        <v>1020</v>
      </c>
      <c r="J75" s="36">
        <f>Historical!K86*85%</f>
        <v>1020</v>
      </c>
      <c r="K75" s="36">
        <f>Historical!L86*85%</f>
        <v>1020</v>
      </c>
      <c r="L75" s="36">
        <f>Historical!M86*85%</f>
        <v>1020</v>
      </c>
    </row>
    <row r="76" spans="2:12" ht="17">
      <c r="B76" s="33" t="s">
        <v>217</v>
      </c>
      <c r="C76" s="36">
        <f>C73+C74-C75</f>
        <v>9365</v>
      </c>
      <c r="D76" s="36">
        <f>D73+D74-D75</f>
        <v>9067</v>
      </c>
      <c r="E76" s="36">
        <f>E73+E74-E75</f>
        <v>9638</v>
      </c>
      <c r="F76" s="36">
        <f>F73+F74-F75</f>
        <v>9430</v>
      </c>
      <c r="G76" s="36">
        <f>G73+G74-G75</f>
        <v>9234</v>
      </c>
      <c r="H76" s="36">
        <f t="shared" ref="H76:L76" si="28">H73+H74-H75</f>
        <v>9042.75</v>
      </c>
      <c r="I76" s="36">
        <f t="shared" si="28"/>
        <v>8851.5</v>
      </c>
      <c r="J76" s="36">
        <f t="shared" si="28"/>
        <v>8660.25</v>
      </c>
      <c r="K76" s="36">
        <f t="shared" si="28"/>
        <v>8469</v>
      </c>
      <c r="L76" s="36">
        <f t="shared" si="28"/>
        <v>8277.75</v>
      </c>
    </row>
    <row r="77" spans="2:12">
      <c r="B77" s="22"/>
    </row>
    <row r="78" spans="2:12">
      <c r="B78" s="33"/>
      <c r="C78" s="34"/>
      <c r="D78" s="34"/>
      <c r="E78" s="34"/>
      <c r="F78" s="34"/>
      <c r="G78" s="34"/>
      <c r="H78" s="34"/>
      <c r="I78" s="34"/>
      <c r="J78" s="34"/>
      <c r="K78" s="34"/>
      <c r="L78" s="34"/>
    </row>
    <row r="79" spans="2:12" ht="20">
      <c r="B79" s="212" t="s">
        <v>232</v>
      </c>
      <c r="C79" s="212"/>
      <c r="D79" s="212"/>
      <c r="E79" s="212"/>
      <c r="F79" s="212"/>
      <c r="G79" s="212"/>
      <c r="H79" s="141"/>
      <c r="I79" s="141"/>
      <c r="J79" s="141"/>
      <c r="K79" s="141"/>
      <c r="L79" s="141"/>
    </row>
    <row r="80" spans="2:12" ht="17">
      <c r="B80" s="33" t="s">
        <v>233</v>
      </c>
      <c r="C80" s="36">
        <v>1554</v>
      </c>
      <c r="D80" s="49">
        <f>C84</f>
        <v>1730</v>
      </c>
      <c r="E80" s="49">
        <f t="shared" ref="E80:L80" si="29">D84</f>
        <v>1757</v>
      </c>
      <c r="F80" s="49">
        <f t="shared" si="29"/>
        <v>1880</v>
      </c>
      <c r="G80" s="49">
        <f t="shared" si="29"/>
        <v>1894</v>
      </c>
      <c r="H80" s="49">
        <f t="shared" si="29"/>
        <v>1688</v>
      </c>
      <c r="I80" s="49">
        <f t="shared" si="29"/>
        <v>1793</v>
      </c>
      <c r="J80" s="49">
        <f t="shared" si="29"/>
        <v>1898</v>
      </c>
      <c r="K80" s="49">
        <f t="shared" si="29"/>
        <v>2003</v>
      </c>
      <c r="L80" s="49">
        <f t="shared" si="29"/>
        <v>2108</v>
      </c>
    </row>
    <row r="81" spans="2:12" ht="17">
      <c r="B81" s="33" t="s">
        <v>234</v>
      </c>
      <c r="C81" s="36">
        <v>278</v>
      </c>
      <c r="D81" s="36">
        <v>213</v>
      </c>
      <c r="E81" s="36">
        <v>178</v>
      </c>
      <c r="F81" s="36">
        <v>208</v>
      </c>
      <c r="G81" s="36">
        <v>230</v>
      </c>
      <c r="H81" s="36">
        <v>205</v>
      </c>
      <c r="I81" s="36">
        <v>205</v>
      </c>
      <c r="J81" s="36">
        <v>205</v>
      </c>
      <c r="K81" s="36">
        <v>205</v>
      </c>
      <c r="L81" s="36">
        <v>205</v>
      </c>
    </row>
    <row r="82" spans="2:12" ht="17">
      <c r="B82" s="33" t="s">
        <v>235</v>
      </c>
      <c r="C82" s="36">
        <v>-102</v>
      </c>
      <c r="D82" s="36">
        <v>-186</v>
      </c>
      <c r="E82" s="36">
        <v>-55</v>
      </c>
      <c r="F82" s="36">
        <v>-117</v>
      </c>
      <c r="G82" s="36">
        <v>-436</v>
      </c>
      <c r="H82" s="36">
        <v>-100</v>
      </c>
      <c r="I82" s="36">
        <v>-100</v>
      </c>
      <c r="J82" s="36">
        <v>-100</v>
      </c>
      <c r="K82" s="36">
        <v>-100</v>
      </c>
      <c r="L82" s="36">
        <v>-100</v>
      </c>
    </row>
    <row r="83" spans="2:12" ht="17">
      <c r="B83" s="33" t="s">
        <v>242</v>
      </c>
      <c r="C83" s="36">
        <v>0</v>
      </c>
      <c r="D83" s="36">
        <v>0</v>
      </c>
      <c r="E83" s="36">
        <v>0</v>
      </c>
      <c r="F83" s="36">
        <v>-77</v>
      </c>
      <c r="G83" s="36">
        <v>0</v>
      </c>
      <c r="H83" s="34">
        <v>0</v>
      </c>
      <c r="I83" s="34">
        <v>0</v>
      </c>
      <c r="J83" s="34">
        <v>0</v>
      </c>
      <c r="K83" s="34">
        <v>0</v>
      </c>
      <c r="L83" s="34">
        <v>0</v>
      </c>
    </row>
    <row r="84" spans="2:12" ht="17">
      <c r="B84" s="33" t="s">
        <v>236</v>
      </c>
      <c r="C84" s="36">
        <f>SUM(C80:C83)</f>
        <v>1730</v>
      </c>
      <c r="D84" s="36">
        <f>SUM(D80:D83)</f>
        <v>1757</v>
      </c>
      <c r="E84" s="36">
        <f t="shared" ref="E84:G84" si="30">SUM(E80:E83)</f>
        <v>1880</v>
      </c>
      <c r="F84" s="36">
        <f t="shared" si="30"/>
        <v>1894</v>
      </c>
      <c r="G84" s="36">
        <f t="shared" si="30"/>
        <v>1688</v>
      </c>
      <c r="H84" s="36">
        <f t="shared" ref="H84" si="31">SUM(H80:H83)</f>
        <v>1793</v>
      </c>
      <c r="I84" s="36">
        <f t="shared" ref="I84" si="32">SUM(I80:I83)</f>
        <v>1898</v>
      </c>
      <c r="J84" s="36">
        <f t="shared" ref="J84" si="33">SUM(J80:J83)</f>
        <v>2003</v>
      </c>
      <c r="K84" s="36">
        <f t="shared" ref="K84" si="34">SUM(K80:K83)</f>
        <v>2108</v>
      </c>
      <c r="L84" s="36">
        <f t="shared" ref="L84" si="35">SUM(L80:L83)</f>
        <v>2213</v>
      </c>
    </row>
    <row r="85" spans="2:12">
      <c r="B85" s="22"/>
      <c r="C85" s="36"/>
      <c r="D85" s="36"/>
      <c r="E85" s="36"/>
      <c r="F85" s="36"/>
      <c r="G85" s="36"/>
      <c r="H85" s="34"/>
      <c r="I85" s="34"/>
      <c r="J85" s="34"/>
      <c r="K85" s="34"/>
      <c r="L85" s="34"/>
    </row>
    <row r="86" spans="2:12" ht="17">
      <c r="B86" s="33" t="s">
        <v>237</v>
      </c>
      <c r="C86" s="36">
        <v>640</v>
      </c>
      <c r="D86" s="36">
        <f>C91</f>
        <v>724</v>
      </c>
      <c r="E86" s="36">
        <f t="shared" ref="E86:L86" si="36">D91</f>
        <v>733</v>
      </c>
      <c r="F86" s="36">
        <f t="shared" si="36"/>
        <v>1074</v>
      </c>
      <c r="G86" s="36">
        <f t="shared" si="36"/>
        <v>1087</v>
      </c>
      <c r="H86" s="36">
        <f t="shared" si="36"/>
        <v>850</v>
      </c>
      <c r="I86" s="36">
        <f t="shared" si="36"/>
        <v>945</v>
      </c>
      <c r="J86" s="36">
        <f t="shared" si="36"/>
        <v>1059</v>
      </c>
      <c r="K86" s="36">
        <f t="shared" si="36"/>
        <v>1195.8</v>
      </c>
      <c r="L86" s="36">
        <f t="shared" si="36"/>
        <v>1359.96</v>
      </c>
    </row>
    <row r="87" spans="2:12" ht="17">
      <c r="B87" s="33" t="s">
        <v>238</v>
      </c>
      <c r="C87" s="36">
        <v>151</v>
      </c>
      <c r="D87" s="36">
        <v>172</v>
      </c>
      <c r="E87" s="36">
        <v>189</v>
      </c>
      <c r="F87" s="36">
        <v>182</v>
      </c>
      <c r="G87" s="36">
        <v>199</v>
      </c>
      <c r="H87" s="36">
        <f>H86*20%</f>
        <v>170</v>
      </c>
      <c r="I87" s="36">
        <f t="shared" ref="I87:L87" si="37">I86*20%</f>
        <v>189</v>
      </c>
      <c r="J87" s="36">
        <f t="shared" si="37"/>
        <v>211.8</v>
      </c>
      <c r="K87" s="36">
        <f t="shared" si="37"/>
        <v>239.16</v>
      </c>
      <c r="L87" s="36">
        <f t="shared" si="37"/>
        <v>271.99200000000002</v>
      </c>
    </row>
    <row r="88" spans="2:12">
      <c r="B88" s="6" t="s">
        <v>239</v>
      </c>
      <c r="C88" s="36">
        <v>0</v>
      </c>
      <c r="D88" s="36">
        <v>23</v>
      </c>
      <c r="E88" s="36">
        <v>200</v>
      </c>
      <c r="F88" s="36">
        <v>0</v>
      </c>
      <c r="G88" s="36">
        <v>0</v>
      </c>
      <c r="H88" s="36">
        <v>0</v>
      </c>
      <c r="I88" s="36">
        <v>0</v>
      </c>
      <c r="J88" s="36">
        <v>0</v>
      </c>
      <c r="K88" s="36">
        <v>0</v>
      </c>
      <c r="L88" s="36">
        <v>0</v>
      </c>
    </row>
    <row r="89" spans="2:12" ht="17">
      <c r="B89" s="33" t="s">
        <v>235</v>
      </c>
      <c r="C89" s="36">
        <v>-67</v>
      </c>
      <c r="D89" s="36">
        <v>-186</v>
      </c>
      <c r="E89" s="36">
        <v>-48</v>
      </c>
      <c r="F89" s="36">
        <v>-92</v>
      </c>
      <c r="G89" s="36">
        <v>-436</v>
      </c>
      <c r="H89" s="49">
        <v>-75</v>
      </c>
      <c r="I89" s="49">
        <v>-75</v>
      </c>
      <c r="J89" s="49">
        <v>-75</v>
      </c>
      <c r="K89" s="49">
        <v>-75</v>
      </c>
      <c r="L89" s="49">
        <v>-75</v>
      </c>
    </row>
    <row r="90" spans="2:12" ht="17">
      <c r="B90" s="33" t="s">
        <v>242</v>
      </c>
      <c r="C90" s="36">
        <v>0</v>
      </c>
      <c r="D90" s="36">
        <v>0</v>
      </c>
      <c r="E90" s="36">
        <v>0</v>
      </c>
      <c r="F90" s="36">
        <v>-77</v>
      </c>
      <c r="G90" s="36">
        <v>0</v>
      </c>
      <c r="H90" s="49">
        <v>0</v>
      </c>
      <c r="I90" s="49">
        <v>0</v>
      </c>
      <c r="J90" s="49">
        <v>0</v>
      </c>
      <c r="K90" s="49">
        <v>0</v>
      </c>
      <c r="L90" s="49">
        <v>0</v>
      </c>
    </row>
    <row r="91" spans="2:12" ht="17">
      <c r="B91" s="33" t="s">
        <v>240</v>
      </c>
      <c r="C91" s="36">
        <f>SUM(C86:C90)</f>
        <v>724</v>
      </c>
      <c r="D91" s="36">
        <f>SUM(D86:D90)</f>
        <v>733</v>
      </c>
      <c r="E91" s="36">
        <f t="shared" ref="E91:G91" si="38">SUM(E86:E90)</f>
        <v>1074</v>
      </c>
      <c r="F91" s="36">
        <f t="shared" si="38"/>
        <v>1087</v>
      </c>
      <c r="G91" s="36">
        <f t="shared" si="38"/>
        <v>850</v>
      </c>
      <c r="H91" s="36">
        <f t="shared" ref="H91" si="39">SUM(H86:H90)</f>
        <v>945</v>
      </c>
      <c r="I91" s="36">
        <f t="shared" ref="I91" si="40">SUM(I86:I90)</f>
        <v>1059</v>
      </c>
      <c r="J91" s="36">
        <f t="shared" ref="J91" si="41">SUM(J86:J90)</f>
        <v>1195.8</v>
      </c>
      <c r="K91" s="36">
        <f t="shared" ref="K91" si="42">SUM(K86:K90)</f>
        <v>1359.96</v>
      </c>
      <c r="L91" s="36">
        <f t="shared" ref="L91" si="43">SUM(L86:L90)</f>
        <v>1556.952</v>
      </c>
    </row>
    <row r="92" spans="2:12">
      <c r="B92" s="22"/>
      <c r="C92" s="36"/>
      <c r="D92" s="36"/>
      <c r="E92" s="36"/>
      <c r="F92" s="36"/>
      <c r="G92" s="36"/>
      <c r="H92" s="34"/>
      <c r="I92" s="34"/>
      <c r="J92" s="34"/>
      <c r="K92" s="34"/>
      <c r="L92" s="34"/>
    </row>
    <row r="93" spans="2:12" ht="17">
      <c r="B93" s="48" t="s">
        <v>241</v>
      </c>
      <c r="C93" s="65">
        <f>C84-C91</f>
        <v>1006</v>
      </c>
      <c r="D93" s="65">
        <f t="shared" ref="D93:L93" si="44">D84-D91</f>
        <v>1024</v>
      </c>
      <c r="E93" s="65">
        <f t="shared" si="44"/>
        <v>806</v>
      </c>
      <c r="F93" s="65">
        <f t="shared" si="44"/>
        <v>807</v>
      </c>
      <c r="G93" s="65">
        <f t="shared" si="44"/>
        <v>838</v>
      </c>
      <c r="H93" s="65">
        <f t="shared" si="44"/>
        <v>848</v>
      </c>
      <c r="I93" s="65">
        <f t="shared" si="44"/>
        <v>839</v>
      </c>
      <c r="J93" s="65">
        <f t="shared" si="44"/>
        <v>807.2</v>
      </c>
      <c r="K93" s="65">
        <f t="shared" si="44"/>
        <v>748.04</v>
      </c>
      <c r="L93" s="65">
        <f t="shared" si="44"/>
        <v>656.048</v>
      </c>
    </row>
    <row r="94" spans="2:12">
      <c r="H94" s="34"/>
      <c r="I94" s="34"/>
    </row>
    <row r="95" spans="2:12">
      <c r="B95" s="33"/>
      <c r="C95" s="34"/>
      <c r="D95" s="36"/>
      <c r="E95" s="34"/>
      <c r="F95" s="34"/>
      <c r="G95" s="34"/>
      <c r="H95" s="34"/>
      <c r="I95" s="36"/>
    </row>
    <row r="97" spans="6:12">
      <c r="H97" s="49"/>
      <c r="I97" s="49"/>
      <c r="J97" s="49"/>
      <c r="K97" s="49"/>
      <c r="L97" s="49"/>
    </row>
    <row r="98" spans="6:12">
      <c r="F98" s="49"/>
      <c r="H98" s="49"/>
      <c r="I98" s="49"/>
      <c r="J98" s="49"/>
      <c r="K98" s="49"/>
      <c r="L98" s="49"/>
    </row>
  </sheetData>
  <mergeCells count="8">
    <mergeCell ref="B72:G72"/>
    <mergeCell ref="B79:G79"/>
    <mergeCell ref="B1:G1"/>
    <mergeCell ref="B5:G5"/>
    <mergeCell ref="B41:G41"/>
    <mergeCell ref="B63:G63"/>
    <mergeCell ref="B14:G14"/>
    <mergeCell ref="B54:G54"/>
  </mergeCells>
  <pageMargins left="0.7" right="0.7" top="0.75" bottom="0.75" header="0.3" footer="0.3"/>
  <ignoredErrors>
    <ignoredError sqref="E60" formula="1"/>
  </ignoredError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2"/>
  <sheetViews>
    <sheetView workbookViewId="0"/>
  </sheetViews>
  <sheetFormatPr baseColWidth="10" defaultColWidth="8.83203125" defaultRowHeight="15"/>
  <cols>
    <col min="1" max="1" width="16" customWidth="1"/>
    <col min="2" max="2" width="44" customWidth="1"/>
    <col min="3" max="4" width="48" customWidth="1"/>
    <col min="5" max="5" width="85" customWidth="1"/>
  </cols>
  <sheetData>
    <row r="1" spans="1:5">
      <c r="A1" s="2" t="s">
        <v>145</v>
      </c>
      <c r="B1" s="2" t="s">
        <v>146</v>
      </c>
      <c r="C1" s="2" t="s">
        <v>147</v>
      </c>
      <c r="D1" s="2" t="s">
        <v>148</v>
      </c>
      <c r="E1" s="2" t="s">
        <v>149</v>
      </c>
    </row>
    <row r="2" spans="1:5" ht="29">
      <c r="A2" s="3" t="s">
        <v>150</v>
      </c>
      <c r="B2" s="3" t="s">
        <v>151</v>
      </c>
      <c r="C2" s="3" t="s">
        <v>152</v>
      </c>
      <c r="D2" s="3" t="s">
        <v>153</v>
      </c>
      <c r="E2" s="3" t="s">
        <v>154</v>
      </c>
    </row>
    <row r="3" spans="1:5" ht="29">
      <c r="A3" s="3" t="s">
        <v>155</v>
      </c>
      <c r="B3" s="3" t="s">
        <v>156</v>
      </c>
      <c r="C3" s="3" t="s">
        <v>157</v>
      </c>
      <c r="D3" s="3"/>
      <c r="E3" s="3" t="s">
        <v>154</v>
      </c>
    </row>
    <row r="4" spans="1:5" ht="29">
      <c r="A4" s="3" t="s">
        <v>158</v>
      </c>
      <c r="B4" s="3" t="s">
        <v>159</v>
      </c>
      <c r="C4" s="3" t="s">
        <v>160</v>
      </c>
      <c r="D4" s="3" t="s">
        <v>161</v>
      </c>
      <c r="E4" s="3" t="s">
        <v>162</v>
      </c>
    </row>
    <row r="5" spans="1:5" ht="43">
      <c r="A5" s="3" t="s">
        <v>163</v>
      </c>
      <c r="B5" s="3" t="s">
        <v>164</v>
      </c>
      <c r="C5" s="3" t="s">
        <v>165</v>
      </c>
      <c r="D5" s="3" t="s">
        <v>166</v>
      </c>
      <c r="E5" s="3" t="s">
        <v>167</v>
      </c>
    </row>
    <row r="6" spans="1:5" ht="29">
      <c r="A6" s="3" t="s">
        <v>168</v>
      </c>
      <c r="B6" s="3" t="s">
        <v>164</v>
      </c>
      <c r="C6" s="3" t="s">
        <v>169</v>
      </c>
      <c r="D6" s="3" t="s">
        <v>170</v>
      </c>
      <c r="E6" s="3" t="s">
        <v>167</v>
      </c>
    </row>
    <row r="9" spans="1:5">
      <c r="A9" s="214" t="s">
        <v>171</v>
      </c>
      <c r="B9" s="214"/>
      <c r="C9" s="214"/>
      <c r="D9" s="214"/>
      <c r="E9" s="214"/>
    </row>
    <row r="10" spans="1:5" ht="32">
      <c r="A10" s="1" t="s">
        <v>150</v>
      </c>
      <c r="B10" s="1" t="s">
        <v>172</v>
      </c>
      <c r="C10" s="1" t="s">
        <v>173</v>
      </c>
      <c r="D10" s="1"/>
      <c r="E10" s="1" t="s">
        <v>174</v>
      </c>
    </row>
    <row r="11" spans="1:5" ht="32">
      <c r="A11" s="1" t="s">
        <v>175</v>
      </c>
      <c r="B11" s="1" t="s">
        <v>176</v>
      </c>
      <c r="C11" s="1" t="s">
        <v>177</v>
      </c>
      <c r="D11" s="1"/>
      <c r="E11" s="1" t="s">
        <v>178</v>
      </c>
    </row>
    <row r="12" spans="1:5" ht="16">
      <c r="A12" s="1" t="s">
        <v>179</v>
      </c>
      <c r="B12" s="1" t="s">
        <v>180</v>
      </c>
      <c r="C12" s="1" t="s">
        <v>181</v>
      </c>
      <c r="D12" s="1"/>
      <c r="E12" s="1" t="s">
        <v>182</v>
      </c>
    </row>
  </sheetData>
  <mergeCells count="1">
    <mergeCell ref="A9:E9"/>
  </mergeCell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5</vt:i4>
      </vt:variant>
    </vt:vector>
  </HeadingPairs>
  <TitlesOfParts>
    <vt:vector size="5" baseType="lpstr">
      <vt:lpstr>Historical</vt:lpstr>
      <vt:lpstr>Assumptions</vt:lpstr>
      <vt:lpstr>DCF</vt:lpstr>
      <vt:lpstr>Supporting Schedules</vt:lpstr>
      <vt:lpstr>Source Notes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Ibrahim M</cp:lastModifiedBy>
  <dcterms:created xsi:type="dcterms:W3CDTF">2026-08-12T14:12:58Z</dcterms:created>
  <dcterms:modified xsi:type="dcterms:W3CDTF">2026-08-17T12:03:01Z</dcterms:modified>
</cp:coreProperties>
</file>