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mdojo/Desktop/Prep/"/>
    </mc:Choice>
  </mc:AlternateContent>
  <xr:revisionPtr revIDLastSave="0" documentId="8_{E7871F87-9925-A14F-B026-C08D190E0DA3}" xr6:coauthVersionLast="47" xr6:coauthVersionMax="47" xr10:uidLastSave="{00000000-0000-0000-0000-000000000000}"/>
  <bookViews>
    <workbookView xWindow="30480" yWindow="-40" windowWidth="27640" windowHeight="15760" xr2:uid="{DA2E38D7-CDBA-E740-93A6-1FC0662A5582}"/>
  </bookViews>
  <sheets>
    <sheet name="LBO" sheetId="1" r:id="rId1"/>
    <sheet name="Shares" sheetId="2" r:id="rId2"/>
  </sheets>
  <definedNames>
    <definedName name="Case">LBO!$F$6</definedName>
    <definedName name="CIRC">LBO!$F$5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2" i="1" l="1"/>
  <c r="J122" i="1"/>
  <c r="K122" i="1"/>
  <c r="L122" i="1"/>
  <c r="M122" i="1"/>
  <c r="I122" i="1"/>
  <c r="J125" i="1"/>
  <c r="K125" i="1"/>
  <c r="L125" i="1"/>
  <c r="M125" i="1"/>
  <c r="I125" i="1"/>
  <c r="J126" i="1"/>
  <c r="K126" i="1"/>
  <c r="L126" i="1" s="1"/>
  <c r="I126" i="1"/>
  <c r="J129" i="1"/>
  <c r="K129" i="1"/>
  <c r="L129" i="1"/>
  <c r="M129" i="1"/>
  <c r="I129" i="1"/>
  <c r="I113" i="1"/>
  <c r="I134" i="1" s="1"/>
  <c r="J120" i="1"/>
  <c r="K120" i="1"/>
  <c r="L120" i="1"/>
  <c r="M120" i="1"/>
  <c r="I120" i="1"/>
  <c r="I116" i="1"/>
  <c r="J116" i="1" s="1"/>
  <c r="I174" i="1"/>
  <c r="J174" i="1"/>
  <c r="K174" i="1"/>
  <c r="L174" i="1"/>
  <c r="M174" i="1"/>
  <c r="I171" i="1"/>
  <c r="J171" i="1"/>
  <c r="K171" i="1"/>
  <c r="L171" i="1"/>
  <c r="M171" i="1"/>
  <c r="H167" i="1"/>
  <c r="G126" i="1"/>
  <c r="H126" i="1"/>
  <c r="F126" i="1"/>
  <c r="G117" i="1"/>
  <c r="H117" i="1"/>
  <c r="F117" i="1"/>
  <c r="G110" i="1"/>
  <c r="G111" i="1" s="1"/>
  <c r="H110" i="1"/>
  <c r="H111" i="1" s="1"/>
  <c r="F110" i="1"/>
  <c r="F111" i="1" s="1"/>
  <c r="G6" i="1"/>
  <c r="J79" i="1"/>
  <c r="J80" i="1" s="1"/>
  <c r="K79" i="1"/>
  <c r="K80" i="1" s="1"/>
  <c r="L79" i="1"/>
  <c r="L80" i="1" s="1"/>
  <c r="M79" i="1"/>
  <c r="M80" i="1" s="1"/>
  <c r="I79" i="1"/>
  <c r="I80" i="1" s="1"/>
  <c r="J83" i="1"/>
  <c r="K83" i="1"/>
  <c r="L83" i="1"/>
  <c r="M83" i="1"/>
  <c r="I83" i="1"/>
  <c r="I56" i="1"/>
  <c r="J56" i="1"/>
  <c r="K56" i="1"/>
  <c r="L56" i="1"/>
  <c r="M56" i="1"/>
  <c r="J48" i="1"/>
  <c r="K48" i="1"/>
  <c r="L48" i="1"/>
  <c r="M48" i="1"/>
  <c r="I48" i="1"/>
  <c r="H48" i="1"/>
  <c r="G48" i="1"/>
  <c r="H56" i="1"/>
  <c r="G56" i="1"/>
  <c r="H64" i="1"/>
  <c r="H65" i="1" s="1"/>
  <c r="G64" i="1"/>
  <c r="G65" i="1" s="1"/>
  <c r="F64" i="1"/>
  <c r="F65" i="1" s="1"/>
  <c r="H58" i="1"/>
  <c r="H59" i="1" s="1"/>
  <c r="G58" i="1"/>
  <c r="G59" i="1" s="1"/>
  <c r="F58" i="1"/>
  <c r="F59" i="1" s="1"/>
  <c r="K37" i="1"/>
  <c r="D37" i="1"/>
  <c r="H157" i="1" s="1"/>
  <c r="I155" i="1" s="1"/>
  <c r="D36" i="1"/>
  <c r="H152" i="1" s="1"/>
  <c r="I150" i="1" s="1"/>
  <c r="B38" i="1"/>
  <c r="B37" i="1"/>
  <c r="B173" i="1" s="1"/>
  <c r="B36" i="1"/>
  <c r="B170" i="1" s="1"/>
  <c r="M18" i="1"/>
  <c r="M17" i="1"/>
  <c r="E13" i="2"/>
  <c r="E15" i="2"/>
  <c r="E8" i="2"/>
  <c r="E9" i="2" s="1"/>
  <c r="E21" i="2"/>
  <c r="E22" i="2"/>
  <c r="E23" i="2"/>
  <c r="E24" i="2"/>
  <c r="E25" i="2"/>
  <c r="E26" i="2"/>
  <c r="E27" i="2"/>
  <c r="E28" i="2"/>
  <c r="E29" i="2"/>
  <c r="E20" i="2"/>
  <c r="G30" i="1"/>
  <c r="K27" i="1"/>
  <c r="M27" i="1" s="1"/>
  <c r="K28" i="1"/>
  <c r="M28" i="1" s="1"/>
  <c r="K26" i="1"/>
  <c r="F20" i="1"/>
  <c r="D39" i="1" s="1"/>
  <c r="M12" i="1"/>
  <c r="M126" i="1" l="1"/>
  <c r="I114" i="1"/>
  <c r="J117" i="1"/>
  <c r="J113" i="1"/>
  <c r="K116" i="1"/>
  <c r="L116" i="1" s="1"/>
  <c r="I117" i="1"/>
  <c r="I123" i="1"/>
  <c r="I135" i="1" s="1"/>
  <c r="H147" i="1"/>
  <c r="H168" i="1" s="1"/>
  <c r="I168" i="1" s="1"/>
  <c r="I111" i="1"/>
  <c r="I110" i="1" s="1"/>
  <c r="I136" i="1" s="1"/>
  <c r="H50" i="1"/>
  <c r="I50" i="1" s="1"/>
  <c r="I64" i="1" s="1"/>
  <c r="I65" i="1" s="1"/>
  <c r="F50" i="1"/>
  <c r="G50" i="1"/>
  <c r="G61" i="1"/>
  <c r="F61" i="1"/>
  <c r="K30" i="1"/>
  <c r="K39" i="1" s="1"/>
  <c r="H61" i="1"/>
  <c r="M26" i="1"/>
  <c r="M30" i="1" s="1"/>
  <c r="M15" i="1"/>
  <c r="M14" i="1" s="1"/>
  <c r="E31" i="2"/>
  <c r="E7" i="2" s="1"/>
  <c r="E10" i="2" s="1"/>
  <c r="J114" i="1" l="1"/>
  <c r="J134" i="1"/>
  <c r="M116" i="1"/>
  <c r="M117" i="1" s="1"/>
  <c r="K117" i="1"/>
  <c r="K113" i="1"/>
  <c r="M113" i="1"/>
  <c r="L117" i="1"/>
  <c r="L113" i="1"/>
  <c r="G73" i="1"/>
  <c r="G76" i="1" s="1"/>
  <c r="G77" i="1" s="1"/>
  <c r="H73" i="1"/>
  <c r="H76" i="1" s="1"/>
  <c r="F73" i="1"/>
  <c r="F76" i="1" s="1"/>
  <c r="F77" i="1" s="1"/>
  <c r="J168" i="1"/>
  <c r="J123" i="1"/>
  <c r="I145" i="1"/>
  <c r="I147" i="1" s="1"/>
  <c r="I160" i="1"/>
  <c r="J111" i="1"/>
  <c r="J110" i="1" s="1"/>
  <c r="J136" i="1" s="1"/>
  <c r="J50" i="1"/>
  <c r="J64" i="1" s="1"/>
  <c r="J65" i="1" s="1"/>
  <c r="H49" i="1"/>
  <c r="I49" i="1" s="1"/>
  <c r="I61" i="1" s="1"/>
  <c r="F49" i="1"/>
  <c r="G62" i="1"/>
  <c r="G49" i="1"/>
  <c r="K38" i="1"/>
  <c r="H62" i="1"/>
  <c r="F62" i="1"/>
  <c r="M20" i="1"/>
  <c r="K36" i="1"/>
  <c r="M114" i="1" l="1"/>
  <c r="M134" i="1"/>
  <c r="L114" i="1"/>
  <c r="L134" i="1"/>
  <c r="K114" i="1"/>
  <c r="K134" i="1"/>
  <c r="G74" i="1"/>
  <c r="I167" i="1"/>
  <c r="I86" i="1" s="1"/>
  <c r="K168" i="1"/>
  <c r="J135" i="1"/>
  <c r="K111" i="1"/>
  <c r="L111" i="1" s="1"/>
  <c r="L110" i="1" s="1"/>
  <c r="L136" i="1" s="1"/>
  <c r="K123" i="1"/>
  <c r="K135" i="1" s="1"/>
  <c r="J145" i="1"/>
  <c r="J147" i="1" s="1"/>
  <c r="H77" i="1"/>
  <c r="F17" i="1"/>
  <c r="I58" i="1"/>
  <c r="I59" i="1" s="1"/>
  <c r="I62" i="1"/>
  <c r="J49" i="1"/>
  <c r="J61" i="1" s="1"/>
  <c r="K50" i="1"/>
  <c r="K64" i="1" s="1"/>
  <c r="K65" i="1" s="1"/>
  <c r="F74" i="1"/>
  <c r="H74" i="1"/>
  <c r="K42" i="1"/>
  <c r="M36" i="1" s="1"/>
  <c r="L38" i="1" l="1"/>
  <c r="M21" i="1"/>
  <c r="J167" i="1"/>
  <c r="J86" i="1" s="1"/>
  <c r="L168" i="1"/>
  <c r="K110" i="1"/>
  <c r="K136" i="1" s="1"/>
  <c r="M111" i="1"/>
  <c r="M110" i="1" s="1"/>
  <c r="M136" i="1" s="1"/>
  <c r="L123" i="1"/>
  <c r="L135" i="1" s="1"/>
  <c r="K145" i="1"/>
  <c r="K147" i="1" s="1"/>
  <c r="H27" i="1"/>
  <c r="M22" i="1"/>
  <c r="F21" i="1" s="1"/>
  <c r="M182" i="1" s="1"/>
  <c r="H28" i="1"/>
  <c r="H26" i="1"/>
  <c r="L37" i="1"/>
  <c r="E38" i="1"/>
  <c r="E36" i="1"/>
  <c r="E37" i="1"/>
  <c r="E39" i="1"/>
  <c r="L39" i="1"/>
  <c r="D42" i="1"/>
  <c r="M37" i="1"/>
  <c r="M39" i="1"/>
  <c r="M38" i="1"/>
  <c r="L36" i="1"/>
  <c r="J62" i="1"/>
  <c r="J58" i="1"/>
  <c r="J59" i="1" s="1"/>
  <c r="L50" i="1"/>
  <c r="L64" i="1" s="1"/>
  <c r="L65" i="1" s="1"/>
  <c r="K49" i="1"/>
  <c r="K61" i="1" s="1"/>
  <c r="M123" i="1" l="1"/>
  <c r="M135" i="1" s="1"/>
  <c r="K167" i="1"/>
  <c r="K86" i="1" s="1"/>
  <c r="M168" i="1"/>
  <c r="L145" i="1"/>
  <c r="L147" i="1" s="1"/>
  <c r="L42" i="1"/>
  <c r="M42" i="1"/>
  <c r="D40" i="1"/>
  <c r="M187" i="1" s="1"/>
  <c r="F37" i="1"/>
  <c r="F36" i="1"/>
  <c r="F39" i="1"/>
  <c r="F38" i="1"/>
  <c r="E42" i="1"/>
  <c r="H30" i="1"/>
  <c r="K62" i="1"/>
  <c r="K58" i="1"/>
  <c r="K59" i="1" s="1"/>
  <c r="L49" i="1"/>
  <c r="L61" i="1" s="1"/>
  <c r="M50" i="1"/>
  <c r="M64" i="1" s="1"/>
  <c r="M65" i="1" s="1"/>
  <c r="L167" i="1" l="1"/>
  <c r="L86" i="1" s="1"/>
  <c r="M145" i="1"/>
  <c r="M147" i="1" s="1"/>
  <c r="E40" i="1"/>
  <c r="F40" i="1"/>
  <c r="F42" i="1" s="1"/>
  <c r="L62" i="1"/>
  <c r="L58" i="1"/>
  <c r="L59" i="1" s="1"/>
  <c r="M49" i="1"/>
  <c r="M61" i="1" s="1"/>
  <c r="M167" i="1" l="1"/>
  <c r="M86" i="1" s="1"/>
  <c r="M58" i="1"/>
  <c r="M59" i="1" s="1"/>
  <c r="M62" i="1"/>
  <c r="F88" i="1" l="1"/>
  <c r="F89" i="1" s="1"/>
  <c r="H88" i="1"/>
  <c r="H51" i="1" s="1"/>
  <c r="I51" i="1" s="1"/>
  <c r="J51" i="1" s="1"/>
  <c r="K51" i="1" s="1"/>
  <c r="L51" i="1" s="1"/>
  <c r="M51" i="1" s="1"/>
  <c r="G88" i="1"/>
  <c r="G92" i="1" s="1"/>
  <c r="H92" i="1" l="1"/>
  <c r="F94" i="1"/>
  <c r="F95" i="1" s="1"/>
  <c r="G94" i="1"/>
  <c r="G95" i="1" s="1"/>
  <c r="G51" i="1"/>
  <c r="G89" i="1"/>
  <c r="F51" i="1"/>
  <c r="F92" i="1"/>
  <c r="H94" i="1"/>
  <c r="H95" i="1" s="1"/>
  <c r="H89" i="1"/>
  <c r="I73" i="1" l="1"/>
  <c r="I67" i="1" s="1"/>
  <c r="I68" i="1" s="1"/>
  <c r="J73" i="1"/>
  <c r="J67" i="1" s="1"/>
  <c r="J68" i="1" s="1"/>
  <c r="K73" i="1"/>
  <c r="K67" i="1" s="1"/>
  <c r="K68" i="1" s="1"/>
  <c r="L73" i="1"/>
  <c r="L67" i="1" s="1"/>
  <c r="L68" i="1" s="1"/>
  <c r="M73" i="1"/>
  <c r="M67" i="1" s="1"/>
  <c r="M68" i="1" s="1"/>
  <c r="I74" i="1"/>
  <c r="M74" i="1"/>
  <c r="K74" i="1" l="1"/>
  <c r="K76" i="1"/>
  <c r="L76" i="1"/>
  <c r="L74" i="1"/>
  <c r="J76" i="1"/>
  <c r="M76" i="1"/>
  <c r="I76" i="1"/>
  <c r="J74" i="1"/>
  <c r="K70" i="1" l="1"/>
  <c r="K71" i="1" s="1"/>
  <c r="K77" i="1"/>
  <c r="I70" i="1"/>
  <c r="I71" i="1" s="1"/>
  <c r="I77" i="1"/>
  <c r="M70" i="1"/>
  <c r="M77" i="1"/>
  <c r="J70" i="1"/>
  <c r="J71" i="1" s="1"/>
  <c r="J77" i="1"/>
  <c r="L70" i="1"/>
  <c r="L71" i="1" s="1"/>
  <c r="L77" i="1"/>
  <c r="M181" i="1" l="1"/>
  <c r="M183" i="1" s="1"/>
  <c r="M71" i="1"/>
  <c r="M5" i="1"/>
  <c r="I85" i="1"/>
  <c r="J85" i="1"/>
  <c r="K85" i="1"/>
  <c r="L85" i="1"/>
  <c r="M85" i="1"/>
  <c r="I88" i="1"/>
  <c r="J88" i="1"/>
  <c r="K88" i="1"/>
  <c r="L88" i="1"/>
  <c r="M88" i="1"/>
  <c r="I89" i="1"/>
  <c r="J89" i="1"/>
  <c r="K89" i="1"/>
  <c r="L89" i="1"/>
  <c r="M89" i="1"/>
  <c r="I91" i="1"/>
  <c r="J91" i="1"/>
  <c r="K91" i="1"/>
  <c r="L91" i="1"/>
  <c r="M91" i="1"/>
  <c r="I92" i="1"/>
  <c r="J92" i="1"/>
  <c r="K92" i="1"/>
  <c r="L92" i="1"/>
  <c r="M92" i="1"/>
  <c r="I94" i="1"/>
  <c r="J94" i="1"/>
  <c r="K94" i="1"/>
  <c r="L94" i="1"/>
  <c r="M94" i="1"/>
  <c r="I95" i="1"/>
  <c r="J95" i="1"/>
  <c r="K95" i="1"/>
  <c r="L95" i="1"/>
  <c r="M95" i="1"/>
  <c r="I133" i="1"/>
  <c r="J133" i="1"/>
  <c r="K133" i="1"/>
  <c r="L133" i="1"/>
  <c r="M133" i="1"/>
  <c r="I139" i="1"/>
  <c r="J139" i="1"/>
  <c r="K139" i="1"/>
  <c r="L139" i="1"/>
  <c r="M139" i="1"/>
  <c r="J150" i="1"/>
  <c r="K150" i="1"/>
  <c r="L150" i="1"/>
  <c r="M150" i="1"/>
  <c r="I151" i="1"/>
  <c r="J151" i="1"/>
  <c r="K151" i="1"/>
  <c r="L151" i="1"/>
  <c r="M151" i="1"/>
  <c r="I152" i="1"/>
  <c r="J152" i="1"/>
  <c r="K152" i="1"/>
  <c r="L152" i="1"/>
  <c r="M152" i="1"/>
  <c r="J155" i="1"/>
  <c r="K155" i="1"/>
  <c r="L155" i="1"/>
  <c r="M155" i="1"/>
  <c r="I156" i="1"/>
  <c r="J156" i="1"/>
  <c r="K156" i="1"/>
  <c r="L156" i="1"/>
  <c r="M156" i="1"/>
  <c r="I157" i="1"/>
  <c r="J157" i="1"/>
  <c r="K157" i="1"/>
  <c r="L157" i="1"/>
  <c r="M157" i="1"/>
  <c r="J160" i="1"/>
  <c r="K160" i="1"/>
  <c r="L160" i="1"/>
  <c r="M160" i="1"/>
  <c r="I161" i="1"/>
  <c r="J161" i="1"/>
  <c r="K161" i="1"/>
  <c r="L161" i="1"/>
  <c r="M161" i="1"/>
  <c r="I162" i="1"/>
  <c r="J162" i="1"/>
  <c r="K162" i="1"/>
  <c r="L162" i="1"/>
  <c r="M162" i="1"/>
  <c r="I163" i="1"/>
  <c r="J163" i="1"/>
  <c r="K163" i="1"/>
  <c r="L163" i="1"/>
  <c r="M163" i="1"/>
  <c r="I170" i="1"/>
  <c r="J170" i="1"/>
  <c r="K170" i="1"/>
  <c r="L170" i="1"/>
  <c r="M170" i="1"/>
  <c r="I173" i="1"/>
  <c r="J173" i="1"/>
  <c r="K173" i="1"/>
  <c r="L173" i="1"/>
  <c r="M173" i="1"/>
  <c r="I176" i="1"/>
  <c r="J176" i="1"/>
  <c r="K176" i="1"/>
  <c r="L176" i="1"/>
  <c r="M176" i="1"/>
  <c r="I177" i="1"/>
  <c r="J177" i="1"/>
  <c r="K177" i="1"/>
  <c r="L177" i="1"/>
  <c r="M177" i="1"/>
  <c r="M184" i="1"/>
  <c r="M185" i="1"/>
  <c r="M189" i="1"/>
  <c r="M190" i="1"/>
</calcChain>
</file>

<file path=xl/sharedStrings.xml><?xml version="1.0" encoding="utf-8"?>
<sst xmlns="http://schemas.openxmlformats.org/spreadsheetml/2006/main" count="200" uniqueCount="143">
  <si>
    <t>Switches</t>
  </si>
  <si>
    <t>Circuit Breaker</t>
  </si>
  <si>
    <t>Case</t>
  </si>
  <si>
    <t>x</t>
  </si>
  <si>
    <t xml:space="preserve">Assumptions </t>
  </si>
  <si>
    <t xml:space="preserve">Transaction Background </t>
  </si>
  <si>
    <t>Company Name</t>
  </si>
  <si>
    <t>Ticker</t>
  </si>
  <si>
    <t>Latest closing share price</t>
  </si>
  <si>
    <t>Latest closing share price date</t>
  </si>
  <si>
    <t>Buffalo Wild Wings</t>
  </si>
  <si>
    <t>BWLD</t>
  </si>
  <si>
    <t>Valuation at Entry</t>
  </si>
  <si>
    <t>Offer value / share</t>
  </si>
  <si>
    <t>% Premium / discount</t>
  </si>
  <si>
    <t xml:space="preserve">Offer value (Equity value) </t>
  </si>
  <si>
    <t>Diluted shares outstanding</t>
  </si>
  <si>
    <t>Debt</t>
  </si>
  <si>
    <t>Cash</t>
  </si>
  <si>
    <t xml:space="preserve">Enterprise Value </t>
  </si>
  <si>
    <t>LTM EBITDA</t>
  </si>
  <si>
    <t>Entry Multiple</t>
  </si>
  <si>
    <t>Transaction Financials and Assumptions</t>
  </si>
  <si>
    <t xml:space="preserve">Debt </t>
  </si>
  <si>
    <t>Minimum Cash</t>
  </si>
  <si>
    <t>Exit Multiple</t>
  </si>
  <si>
    <t>Capital Structure</t>
  </si>
  <si>
    <t>Term Loan</t>
  </si>
  <si>
    <t>Senior Notes</t>
  </si>
  <si>
    <t>Revolver</t>
  </si>
  <si>
    <t>Amount</t>
  </si>
  <si>
    <t>xEBITDA</t>
  </si>
  <si>
    <t>Interest (%)</t>
  </si>
  <si>
    <t>Fees (%)</t>
  </si>
  <si>
    <t>Fee $</t>
  </si>
  <si>
    <t>Term</t>
  </si>
  <si>
    <t>Amoritisation</t>
  </si>
  <si>
    <t xml:space="preserve">Total </t>
  </si>
  <si>
    <t>Full Diluted Shares</t>
  </si>
  <si>
    <t>Offer price</t>
  </si>
  <si>
    <t>Basic shares outstanding (latest filing)</t>
  </si>
  <si>
    <t>In-the-money exercisable options</t>
  </si>
  <si>
    <t>Total proceeds ($mn)</t>
  </si>
  <si>
    <t>Total shares repurchased (mm)</t>
  </si>
  <si>
    <t>Net dilutive options</t>
  </si>
  <si>
    <t>Dilutive impact of shares from other securities</t>
  </si>
  <si>
    <t>Settled stock based comp</t>
  </si>
  <si>
    <t>Net diluted shares outstanding</t>
  </si>
  <si>
    <t>Options outstanding</t>
  </si>
  <si>
    <t>Outstanding</t>
  </si>
  <si>
    <t>Exercise price</t>
  </si>
  <si>
    <t>Dilutive Shares</t>
  </si>
  <si>
    <t>Tranche 1</t>
  </si>
  <si>
    <t>Tranche 2</t>
  </si>
  <si>
    <t>Tranche 4</t>
  </si>
  <si>
    <t>Tranche 3</t>
  </si>
  <si>
    <t>Tranche 5</t>
  </si>
  <si>
    <t>Tranche 6</t>
  </si>
  <si>
    <t>Tranche 7</t>
  </si>
  <si>
    <t>Tranche 8</t>
  </si>
  <si>
    <t>Tranche 9</t>
  </si>
  <si>
    <t>Tranche 10</t>
  </si>
  <si>
    <t>Total</t>
  </si>
  <si>
    <t>Sources and Uses</t>
  </si>
  <si>
    <t xml:space="preserve">Sources </t>
  </si>
  <si>
    <t>Uses</t>
  </si>
  <si>
    <t>Sponsor Equity</t>
  </si>
  <si>
    <t>Cash on hand</t>
  </si>
  <si>
    <t xml:space="preserve">Amount </t>
  </si>
  <si>
    <t>% Capital</t>
  </si>
  <si>
    <t>Equity payment</t>
  </si>
  <si>
    <t>Debt refinancing</t>
  </si>
  <si>
    <t>Transaction fees</t>
  </si>
  <si>
    <t>Financing fees</t>
  </si>
  <si>
    <t>Financials (30/12 FYE)</t>
  </si>
  <si>
    <t>Assumptions</t>
  </si>
  <si>
    <t>Operating Model</t>
  </si>
  <si>
    <t>Revenue</t>
  </si>
  <si>
    <t>% growth</t>
  </si>
  <si>
    <t>COGS</t>
  </si>
  <si>
    <t>% of sales</t>
  </si>
  <si>
    <t>Gross Profit</t>
  </si>
  <si>
    <t>OpEx</t>
  </si>
  <si>
    <t>EBIT - Management</t>
  </si>
  <si>
    <t>Interest Expense</t>
  </si>
  <si>
    <t>Interest Income</t>
  </si>
  <si>
    <t>EBT</t>
  </si>
  <si>
    <t>Tax Rate</t>
  </si>
  <si>
    <t>% tax rate</t>
  </si>
  <si>
    <t>Net income</t>
  </si>
  <si>
    <t>-</t>
  </si>
  <si>
    <t xml:space="preserve">Revenue </t>
  </si>
  <si>
    <t>Gross Margin</t>
  </si>
  <si>
    <t>Cash Flow Items</t>
  </si>
  <si>
    <t xml:space="preserve">D&amp;A </t>
  </si>
  <si>
    <t>Step</t>
  </si>
  <si>
    <t>OpEx Margin</t>
  </si>
  <si>
    <t>EBITDA</t>
  </si>
  <si>
    <t>D&amp;A - Management</t>
  </si>
  <si>
    <t>EBITDA - Management</t>
  </si>
  <si>
    <t>OFF</t>
  </si>
  <si>
    <t xml:space="preserve">EBIT </t>
  </si>
  <si>
    <t>EBIT - Non-GAAP</t>
  </si>
  <si>
    <t>EBITDA - Non-GAAP</t>
  </si>
  <si>
    <t>Change in Net Working Capital</t>
  </si>
  <si>
    <t>CapEx</t>
  </si>
  <si>
    <t>Current Operating Assets</t>
  </si>
  <si>
    <t>Accounts Receivable</t>
  </si>
  <si>
    <t>Prepaid expenses</t>
  </si>
  <si>
    <t>Inventory</t>
  </si>
  <si>
    <t>Current Operating Liabilities</t>
  </si>
  <si>
    <t>Deferred revenue</t>
  </si>
  <si>
    <t>Accounts payable</t>
  </si>
  <si>
    <t>Income taxes</t>
  </si>
  <si>
    <t>Accrued expenses</t>
  </si>
  <si>
    <t>Leveraged Free Cash Flow</t>
  </si>
  <si>
    <t>Net Income</t>
  </si>
  <si>
    <t>D&amp;A</t>
  </si>
  <si>
    <t>Change in NWC</t>
  </si>
  <si>
    <t>Mandatory Debt Repayments</t>
  </si>
  <si>
    <t>Debt Schedule</t>
  </si>
  <si>
    <t>Debt Paydown</t>
  </si>
  <si>
    <t>Beginning Balance</t>
  </si>
  <si>
    <t>Inflow / (Outflow)</t>
  </si>
  <si>
    <t>Ending Balance</t>
  </si>
  <si>
    <t>Total Debt</t>
  </si>
  <si>
    <t>CHECK</t>
  </si>
  <si>
    <t>Interest</t>
  </si>
  <si>
    <t>Interest income rate</t>
  </si>
  <si>
    <t>Interest rate</t>
  </si>
  <si>
    <t>Total interest expense</t>
  </si>
  <si>
    <t>Blended interest rate</t>
  </si>
  <si>
    <t>IRR</t>
  </si>
  <si>
    <t>LTM EBITDA at Exit</t>
  </si>
  <si>
    <t>Enterprise Value</t>
  </si>
  <si>
    <t>Net Debt</t>
  </si>
  <si>
    <t>Sponsor Equity Value</t>
  </si>
  <si>
    <t>Sponsor Equity at Entry</t>
  </si>
  <si>
    <t>MOIC</t>
  </si>
  <si>
    <t>IRR (for reference)</t>
  </si>
  <si>
    <t>Proceeds from franchise-unit sales</t>
  </si>
  <si>
    <t>D&amp;A - Non-GAAP</t>
  </si>
  <si>
    <t>CapEx -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</si>
</sst>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5" formatCode="0.0%"/>
    <numFmt numFmtId="168" formatCode="_(* #,##0.0_);_(* \(#,##0.0\);_(* &quot;-&quot;??_);_(@_)"/>
    <numFmt numFmtId="169" formatCode="_(* #,##0_);_(* \(#,##0\);_(* &quot;-&quot;??_);_(@_)"/>
    <numFmt numFmtId="173" formatCode="0&quot; yrs&quot;"/>
    <numFmt numFmtId="176" formatCode="0&quot;E&quot;"/>
    <numFmt numFmtId="177" formatCode="0&quot;A&quot;"/>
    <numFmt numFmtId="178" formatCode="0.0&quot;x&quot;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Inherit"/>
    </font>
    <font>
      <sz val="8"/>
      <color theme="1"/>
      <name val="Inherit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1" xfId="0" applyFill="1" applyBorder="1" applyAlignment="1">
      <alignment horizontal="right"/>
    </xf>
    <xf numFmtId="14" fontId="0" fillId="4" borderId="1" xfId="0" applyNumberFormat="1" applyFill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left" indent="1"/>
    </xf>
    <xf numFmtId="165" fontId="4" fillId="0" borderId="0" xfId="2" applyNumberFormat="1" applyFont="1"/>
    <xf numFmtId="9" fontId="4" fillId="0" borderId="0" xfId="2" applyNumberFormat="1" applyFont="1"/>
    <xf numFmtId="3" fontId="6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/>
    <xf numFmtId="43" fontId="0" fillId="4" borderId="1" xfId="1" applyFont="1" applyFill="1" applyBorder="1" applyAlignment="1">
      <alignment horizontal="right"/>
    </xf>
    <xf numFmtId="169" fontId="0" fillId="4" borderId="1" xfId="1" applyNumberFormat="1" applyFont="1" applyFill="1" applyBorder="1" applyAlignment="1">
      <alignment horizontal="right"/>
    </xf>
    <xf numFmtId="0" fontId="2" fillId="0" borderId="0" xfId="0" applyFont="1" applyFill="1"/>
    <xf numFmtId="0" fontId="0" fillId="0" borderId="0" xfId="0" applyFill="1"/>
    <xf numFmtId="0" fontId="8" fillId="0" borderId="0" xfId="0" applyFont="1" applyAlignment="1">
      <alignment horizontal="right"/>
    </xf>
    <xf numFmtId="168" fontId="0" fillId="0" borderId="0" xfId="1" applyNumberFormat="1" applyFont="1"/>
    <xf numFmtId="169" fontId="0" fillId="0" borderId="0" xfId="1" applyNumberFormat="1" applyFont="1"/>
    <xf numFmtId="10" fontId="0" fillId="0" borderId="0" xfId="0" applyNumberFormat="1"/>
    <xf numFmtId="169" fontId="0" fillId="0" borderId="0" xfId="0" applyNumberFormat="1"/>
    <xf numFmtId="0" fontId="0" fillId="0" borderId="0" xfId="0" applyNumberFormat="1"/>
    <xf numFmtId="165" fontId="0" fillId="0" borderId="0" xfId="0" applyNumberFormat="1"/>
    <xf numFmtId="43" fontId="0" fillId="0" borderId="0" xfId="0" applyNumberFormat="1"/>
    <xf numFmtId="173" fontId="0" fillId="0" borderId="0" xfId="0" applyNumberFormat="1"/>
    <xf numFmtId="0" fontId="3" fillId="5" borderId="2" xfId="0" applyFont="1" applyFill="1" applyBorder="1"/>
    <xf numFmtId="0" fontId="0" fillId="5" borderId="3" xfId="0" applyFill="1" applyBorder="1"/>
    <xf numFmtId="0" fontId="0" fillId="5" borderId="4" xfId="0" applyFill="1" applyBorder="1"/>
    <xf numFmtId="2" fontId="0" fillId="0" borderId="0" xfId="0" applyNumberFormat="1"/>
    <xf numFmtId="1" fontId="0" fillId="0" borderId="0" xfId="0" applyNumberFormat="1"/>
    <xf numFmtId="43" fontId="0" fillId="0" borderId="0" xfId="1" applyNumberFormat="1" applyFont="1"/>
    <xf numFmtId="169" fontId="3" fillId="0" borderId="0" xfId="0" applyNumberFormat="1" applyFont="1"/>
    <xf numFmtId="43" fontId="0" fillId="4" borderId="1" xfId="1" applyNumberFormat="1" applyFont="1" applyFill="1" applyBorder="1" applyAlignment="1">
      <alignment horizontal="right"/>
    </xf>
    <xf numFmtId="169" fontId="3" fillId="0" borderId="0" xfId="1" applyNumberFormat="1" applyFont="1"/>
    <xf numFmtId="43" fontId="3" fillId="4" borderId="1" xfId="1" applyFont="1" applyFill="1" applyBorder="1" applyAlignment="1">
      <alignment horizontal="right"/>
    </xf>
    <xf numFmtId="0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left" indent="2"/>
    </xf>
    <xf numFmtId="176" fontId="2" fillId="3" borderId="0" xfId="0" applyNumberFormat="1" applyFont="1" applyFill="1"/>
    <xf numFmtId="177" fontId="2" fillId="3" borderId="0" xfId="0" applyNumberFormat="1" applyFont="1" applyFill="1"/>
    <xf numFmtId="165" fontId="4" fillId="0" borderId="0" xfId="1" applyNumberFormat="1" applyFont="1"/>
    <xf numFmtId="165" fontId="4" fillId="4" borderId="1" xfId="2" applyNumberFormat="1" applyFont="1" applyFill="1" applyBorder="1" applyAlignment="1">
      <alignment horizontal="right"/>
    </xf>
    <xf numFmtId="10" fontId="4" fillId="4" borderId="1" xfId="2" applyNumberFormat="1" applyFont="1" applyFill="1" applyBorder="1" applyAlignment="1">
      <alignment horizontal="right"/>
    </xf>
    <xf numFmtId="169" fontId="0" fillId="4" borderId="1" xfId="0" applyNumberFormat="1" applyFill="1" applyBorder="1" applyAlignment="1">
      <alignment horizontal="right"/>
    </xf>
    <xf numFmtId="176" fontId="2" fillId="3" borderId="0" xfId="0" applyNumberFormat="1" applyFont="1" applyFill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10" fontId="4" fillId="4" borderId="1" xfId="0" applyNumberFormat="1" applyFont="1" applyFill="1" applyBorder="1" applyAlignment="1">
      <alignment horizontal="center"/>
    </xf>
    <xf numFmtId="0" fontId="4" fillId="0" borderId="0" xfId="0" applyFont="1"/>
    <xf numFmtId="169" fontId="0" fillId="0" borderId="0" xfId="0" applyNumberFormat="1" applyAlignment="1">
      <alignment horizontal="right"/>
    </xf>
    <xf numFmtId="165" fontId="4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69" fontId="0" fillId="0" borderId="0" xfId="1" applyNumberFormat="1" applyFont="1" applyAlignment="1">
      <alignment horizontal="right"/>
    </xf>
    <xf numFmtId="0" fontId="0" fillId="0" borderId="0" xfId="0" applyAlignment="1"/>
    <xf numFmtId="0" fontId="3" fillId="5" borderId="6" xfId="0" applyFont="1" applyFill="1" applyBorder="1"/>
    <xf numFmtId="169" fontId="3" fillId="5" borderId="6" xfId="0" applyNumberFormat="1" applyFont="1" applyFill="1" applyBorder="1"/>
    <xf numFmtId="169" fontId="3" fillId="5" borderId="7" xfId="0" applyNumberFormat="1" applyFont="1" applyFill="1" applyBorder="1"/>
    <xf numFmtId="0" fontId="3" fillId="5" borderId="9" xfId="0" applyFont="1" applyFill="1" applyBorder="1"/>
    <xf numFmtId="165" fontId="13" fillId="5" borderId="9" xfId="2" applyNumberFormat="1" applyFont="1" applyFill="1" applyBorder="1"/>
    <xf numFmtId="165" fontId="13" fillId="5" borderId="10" xfId="2" applyNumberFormat="1" applyFont="1" applyFill="1" applyBorder="1"/>
    <xf numFmtId="165" fontId="13" fillId="5" borderId="6" xfId="1" applyNumberFormat="1" applyFont="1" applyFill="1" applyBorder="1"/>
    <xf numFmtId="169" fontId="3" fillId="5" borderId="6" xfId="1" applyNumberFormat="1" applyFont="1" applyFill="1" applyBorder="1"/>
    <xf numFmtId="169" fontId="3" fillId="5" borderId="7" xfId="1" applyNumberFormat="1" applyFont="1" applyFill="1" applyBorder="1"/>
    <xf numFmtId="165" fontId="13" fillId="5" borderId="9" xfId="1" applyNumberFormat="1" applyFont="1" applyFill="1" applyBorder="1"/>
    <xf numFmtId="165" fontId="13" fillId="5" borderId="10" xfId="1" applyNumberFormat="1" applyFont="1" applyFill="1" applyBorder="1"/>
    <xf numFmtId="0" fontId="3" fillId="5" borderId="12" xfId="0" applyFont="1" applyFill="1" applyBorder="1"/>
    <xf numFmtId="169" fontId="3" fillId="5" borderId="12" xfId="0" applyNumberFormat="1" applyFont="1" applyFill="1" applyBorder="1"/>
    <xf numFmtId="168" fontId="3" fillId="5" borderId="12" xfId="0" applyNumberFormat="1" applyFont="1" applyFill="1" applyBorder="1"/>
    <xf numFmtId="169" fontId="3" fillId="5" borderId="13" xfId="0" applyNumberFormat="1" applyFont="1" applyFill="1" applyBorder="1"/>
    <xf numFmtId="178" fontId="3" fillId="0" borderId="0" xfId="0" applyNumberFormat="1" applyFont="1"/>
    <xf numFmtId="178" fontId="0" fillId="4" borderId="1" xfId="0" applyNumberFormat="1" applyFill="1" applyBorder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0" xfId="0" applyNumberFormat="1"/>
    <xf numFmtId="178" fontId="3" fillId="5" borderId="12" xfId="0" applyNumberFormat="1" applyFont="1" applyFill="1" applyBorder="1"/>
    <xf numFmtId="178" fontId="3" fillId="5" borderId="12" xfId="0" applyNumberFormat="1" applyFont="1" applyFill="1" applyBorder="1" applyAlignment="1">
      <alignment horizontal="right"/>
    </xf>
    <xf numFmtId="165" fontId="3" fillId="5" borderId="12" xfId="0" applyNumberFormat="1" applyFont="1" applyFill="1" applyBorder="1"/>
    <xf numFmtId="165" fontId="3" fillId="5" borderId="13" xfId="0" applyNumberFormat="1" applyFont="1" applyFill="1" applyBorder="1"/>
    <xf numFmtId="0" fontId="1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/>
    <xf numFmtId="43" fontId="0" fillId="0" borderId="0" xfId="1" applyFont="1" applyAlignment="1">
      <alignment horizontal="right"/>
    </xf>
    <xf numFmtId="0" fontId="2" fillId="2" borderId="0" xfId="0" applyFont="1" applyFill="1" applyAlignment="1"/>
    <xf numFmtId="0" fontId="2" fillId="3" borderId="0" xfId="0" applyFont="1" applyFill="1" applyAlignment="1"/>
    <xf numFmtId="0" fontId="3" fillId="5" borderId="11" xfId="0" applyFont="1" applyFill="1" applyBorder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/>
    <xf numFmtId="0" fontId="12" fillId="5" borderId="5" xfId="0" applyFont="1" applyFill="1" applyBorder="1" applyAlignment="1"/>
    <xf numFmtId="0" fontId="14" fillId="5" borderId="8" xfId="0" applyFont="1" applyFill="1" applyBorder="1" applyAlignment="1">
      <alignment horizontal="left"/>
    </xf>
    <xf numFmtId="0" fontId="3" fillId="5" borderId="12" xfId="0" applyFont="1" applyFill="1" applyBorder="1" applyAlignment="1"/>
    <xf numFmtId="0" fontId="3" fillId="5" borderId="6" xfId="0" applyFont="1" applyFill="1" applyBorder="1" applyAlignment="1"/>
    <xf numFmtId="0" fontId="3" fillId="5" borderId="9" xfId="0" applyFont="1" applyFill="1" applyBorder="1" applyAlignment="1"/>
    <xf numFmtId="43" fontId="3" fillId="0" borderId="0" xfId="0" applyNumberFormat="1" applyFont="1"/>
    <xf numFmtId="165" fontId="13" fillId="0" borderId="0" xfId="2" applyNumberFormat="1" applyFont="1"/>
    <xf numFmtId="0" fontId="3" fillId="0" borderId="6" xfId="0" applyFont="1" applyBorder="1" applyAlignment="1"/>
    <xf numFmtId="0" fontId="3" fillId="0" borderId="6" xfId="0" applyFont="1" applyBorder="1"/>
    <xf numFmtId="0" fontId="12" fillId="5" borderId="5" xfId="0" applyFont="1" applyFill="1" applyBorder="1" applyAlignment="1">
      <alignment horizontal="left"/>
    </xf>
    <xf numFmtId="43" fontId="3" fillId="5" borderId="6" xfId="0" applyNumberFormat="1" applyFont="1" applyFill="1" applyBorder="1"/>
    <xf numFmtId="43" fontId="3" fillId="5" borderId="7" xfId="0" applyNumberFormat="1" applyFont="1" applyFill="1" applyBorder="1"/>
    <xf numFmtId="0" fontId="13" fillId="5" borderId="9" xfId="0" applyFont="1" applyFill="1" applyBorder="1" applyAlignment="1"/>
    <xf numFmtId="0" fontId="13" fillId="5" borderId="9" xfId="0" applyFont="1" applyFill="1" applyBorder="1"/>
    <xf numFmtId="165" fontId="13" fillId="5" borderId="9" xfId="0" applyNumberFormat="1" applyFont="1" applyFill="1" applyBorder="1"/>
    <xf numFmtId="165" fontId="13" fillId="5" borderId="10" xfId="0" applyNumberFormat="1" applyFont="1" applyFill="1" applyBorder="1"/>
    <xf numFmtId="0" fontId="0" fillId="0" borderId="0" xfId="0" applyFill="1" applyBorder="1" applyAlignment="1"/>
    <xf numFmtId="0" fontId="0" fillId="5" borderId="0" xfId="0" applyFill="1" applyBorder="1" applyAlignment="1"/>
    <xf numFmtId="0" fontId="0" fillId="5" borderId="6" xfId="0" applyFill="1" applyBorder="1" applyAlignment="1"/>
    <xf numFmtId="0" fontId="0" fillId="5" borderId="6" xfId="0" applyFill="1" applyBorder="1"/>
    <xf numFmtId="0" fontId="0" fillId="5" borderId="9" xfId="0" applyFill="1" applyBorder="1" applyAlignment="1"/>
    <xf numFmtId="0" fontId="0" fillId="5" borderId="9" xfId="0" applyFill="1" applyBorder="1"/>
    <xf numFmtId="0" fontId="3" fillId="5" borderId="5" xfId="0" applyFont="1" applyFill="1" applyBorder="1" applyAlignment="1"/>
    <xf numFmtId="0" fontId="3" fillId="0" borderId="11" xfId="0" applyFont="1" applyFill="1" applyBorder="1" applyAlignment="1"/>
    <xf numFmtId="0" fontId="3" fillId="0" borderId="12" xfId="0" applyFont="1" applyBorder="1" applyAlignment="1"/>
    <xf numFmtId="0" fontId="3" fillId="0" borderId="12" xfId="0" applyFont="1" applyBorder="1"/>
    <xf numFmtId="0" fontId="8" fillId="0" borderId="0" xfId="0" applyFont="1" applyAlignment="1"/>
    <xf numFmtId="0" fontId="3" fillId="0" borderId="6" xfId="0" applyFont="1" applyBorder="1" applyAlignment="1">
      <alignment horizontal="left" indent="2"/>
    </xf>
    <xf numFmtId="0" fontId="0" fillId="0" borderId="6" xfId="0" applyBorder="1" applyAlignment="1"/>
    <xf numFmtId="0" fontId="0" fillId="0" borderId="6" xfId="0" applyBorder="1"/>
    <xf numFmtId="169" fontId="3" fillId="0" borderId="6" xfId="0" applyNumberFormat="1" applyFont="1" applyBorder="1"/>
    <xf numFmtId="0" fontId="8" fillId="5" borderId="5" xfId="0" applyFont="1" applyFill="1" applyBorder="1" applyAlignment="1"/>
    <xf numFmtId="0" fontId="0" fillId="5" borderId="7" xfId="0" applyFill="1" applyBorder="1"/>
    <xf numFmtId="0" fontId="0" fillId="5" borderId="14" xfId="0" applyFill="1" applyBorder="1" applyAlignment="1">
      <alignment horizontal="left" indent="2"/>
    </xf>
    <xf numFmtId="0" fontId="0" fillId="5" borderId="0" xfId="0" applyFill="1" applyBorder="1"/>
    <xf numFmtId="169" fontId="0" fillId="5" borderId="0" xfId="1" applyNumberFormat="1" applyFont="1" applyFill="1" applyBorder="1"/>
    <xf numFmtId="169" fontId="0" fillId="5" borderId="15" xfId="1" applyNumberFormat="1" applyFont="1" applyFill="1" applyBorder="1"/>
    <xf numFmtId="0" fontId="3" fillId="5" borderId="8" xfId="0" applyFont="1" applyFill="1" applyBorder="1" applyAlignment="1">
      <alignment horizontal="left" indent="2"/>
    </xf>
    <xf numFmtId="169" fontId="3" fillId="5" borderId="9" xfId="0" applyNumberFormat="1" applyFont="1" applyFill="1" applyBorder="1"/>
    <xf numFmtId="169" fontId="3" fillId="5" borderId="9" xfId="1" applyNumberFormat="1" applyFont="1" applyFill="1" applyBorder="1"/>
    <xf numFmtId="0" fontId="16" fillId="0" borderId="0" xfId="0" applyFont="1" applyAlignment="1"/>
    <xf numFmtId="0" fontId="16" fillId="0" borderId="0" xfId="0" applyFont="1"/>
    <xf numFmtId="169" fontId="16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165" fontId="1" fillId="0" borderId="0" xfId="2" applyNumberFormat="1" applyFont="1"/>
    <xf numFmtId="165" fontId="0" fillId="0" borderId="0" xfId="0" applyNumberFormat="1" applyFont="1"/>
    <xf numFmtId="10" fontId="4" fillId="0" borderId="0" xfId="0" applyNumberFormat="1" applyFont="1"/>
    <xf numFmtId="0" fontId="13" fillId="5" borderId="8" xfId="0" applyFont="1" applyFill="1" applyBorder="1" applyAlignment="1">
      <alignment horizontal="left" indent="1"/>
    </xf>
    <xf numFmtId="169" fontId="0" fillId="4" borderId="0" xfId="0" applyNumberFormat="1" applyFill="1"/>
    <xf numFmtId="178" fontId="3" fillId="5" borderId="7" xfId="0" applyNumberFormat="1" applyFont="1" applyFill="1" applyBorder="1"/>
    <xf numFmtId="0" fontId="3" fillId="5" borderId="8" xfId="0" applyFont="1" applyFill="1" applyBorder="1" applyAlignment="1"/>
    <xf numFmtId="10" fontId="3" fillId="5" borderId="10" xfId="2" applyNumberFormat="1" applyFont="1" applyFill="1" applyBorder="1"/>
    <xf numFmtId="169" fontId="3" fillId="0" borderId="13" xfId="0" applyNumberFormat="1" applyFont="1" applyBorder="1"/>
    <xf numFmtId="0" fontId="3" fillId="0" borderId="6" xfId="0" applyFont="1" applyFill="1" applyBorder="1" applyAlignment="1"/>
    <xf numFmtId="0" fontId="12" fillId="5" borderId="14" xfId="0" applyFont="1" applyFill="1" applyBorder="1" applyAlignment="1"/>
    <xf numFmtId="0" fontId="3" fillId="5" borderId="0" xfId="0" applyFont="1" applyFill="1" applyBorder="1" applyAlignment="1"/>
    <xf numFmtId="0" fontId="3" fillId="5" borderId="0" xfId="0" applyFont="1" applyFill="1" applyBorder="1"/>
    <xf numFmtId="165" fontId="13" fillId="5" borderId="0" xfId="1" applyNumberFormat="1" applyFont="1" applyFill="1" applyBorder="1"/>
    <xf numFmtId="169" fontId="3" fillId="5" borderId="0" xfId="1" applyNumberFormat="1" applyFont="1" applyFill="1" applyBorder="1"/>
    <xf numFmtId="169" fontId="3" fillId="5" borderId="15" xfId="1" applyNumberFormat="1" applyFont="1" applyFill="1" applyBorder="1"/>
    <xf numFmtId="0" fontId="14" fillId="5" borderId="14" xfId="0" applyFont="1" applyFill="1" applyBorder="1" applyAlignment="1">
      <alignment horizontal="left"/>
    </xf>
    <xf numFmtId="165" fontId="13" fillId="5" borderId="15" xfId="1" applyNumberFormat="1" applyFont="1" applyFill="1" applyBorder="1"/>
    <xf numFmtId="0" fontId="11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0" fontId="0" fillId="0" borderId="0" xfId="0" applyFont="1" applyFill="1" applyBorder="1"/>
    <xf numFmtId="165" fontId="4" fillId="0" borderId="0" xfId="2" applyNumberFormat="1" applyFont="1" applyFill="1" applyBorder="1"/>
    <xf numFmtId="165" fontId="4" fillId="0" borderId="0" xfId="0" applyNumberFormat="1" applyFont="1" applyFill="1" applyBorder="1"/>
    <xf numFmtId="169" fontId="1" fillId="0" borderId="0" xfId="1" applyNumberFormat="1" applyFont="1" applyFill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385C-D0B0-1145-8F2A-F346F89910D6}">
  <dimension ref="A3:Q190"/>
  <sheetViews>
    <sheetView showGridLines="0" tabSelected="1" zoomScale="125" workbookViewId="0">
      <selection activeCell="G170" sqref="G170"/>
    </sheetView>
  </sheetViews>
  <sheetFormatPr baseColWidth="10" defaultRowHeight="16"/>
  <cols>
    <col min="1" max="1" width="5.83203125" customWidth="1"/>
    <col min="2" max="2" width="12.83203125" style="54" customWidth="1"/>
    <col min="3" max="3" width="12.33203125" style="54" customWidth="1"/>
    <col min="4" max="13" width="12.83203125" customWidth="1"/>
  </cols>
  <sheetData>
    <row r="3" spans="1:17">
      <c r="A3" t="s">
        <v>3</v>
      </c>
      <c r="B3" s="82" t="s">
        <v>0</v>
      </c>
      <c r="C3" s="8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7" ht="5" customHeight="1"/>
    <row r="5" spans="1:17">
      <c r="B5" s="54" t="s">
        <v>1</v>
      </c>
      <c r="F5" s="4" t="s">
        <v>100</v>
      </c>
      <c r="K5" s="6" t="s">
        <v>139</v>
      </c>
      <c r="L5" s="6"/>
      <c r="M5" s="97">
        <f ca="1">M190</f>
        <v>0.25608461589934972</v>
      </c>
    </row>
    <row r="6" spans="1:17">
      <c r="B6" s="54" t="s">
        <v>2</v>
      </c>
      <c r="F6" s="4">
        <v>1</v>
      </c>
      <c r="G6" s="49" t="str">
        <f>IF(F6=1,"Non-GAAP","Management")</f>
        <v>Non-GAAP</v>
      </c>
    </row>
    <row r="8" spans="1:17">
      <c r="A8" t="s">
        <v>3</v>
      </c>
      <c r="B8" s="82" t="s">
        <v>4</v>
      </c>
      <c r="C8" s="82"/>
      <c r="D8" s="1"/>
      <c r="E8" s="1"/>
      <c r="F8" s="1"/>
      <c r="G8" s="1"/>
      <c r="H8" s="1"/>
      <c r="I8" s="1"/>
      <c r="J8" s="1"/>
      <c r="K8" s="1"/>
      <c r="L8" s="1"/>
      <c r="M8" s="1"/>
      <c r="N8" s="16"/>
      <c r="O8" s="16"/>
      <c r="P8" s="16"/>
      <c r="Q8" s="17"/>
    </row>
    <row r="9" spans="1:17" ht="5" customHeight="1"/>
    <row r="10" spans="1:17">
      <c r="B10" s="83" t="s">
        <v>5</v>
      </c>
      <c r="C10" s="83"/>
      <c r="D10" s="3"/>
      <c r="E10" s="3"/>
      <c r="F10" s="3"/>
      <c r="I10" s="3" t="s">
        <v>12</v>
      </c>
      <c r="J10" s="3"/>
      <c r="K10" s="3"/>
      <c r="L10" s="3"/>
      <c r="M10" s="3"/>
    </row>
    <row r="11" spans="1:17">
      <c r="B11" s="54" t="s">
        <v>6</v>
      </c>
      <c r="F11" s="4" t="s">
        <v>10</v>
      </c>
      <c r="I11" s="6" t="s">
        <v>13</v>
      </c>
      <c r="M11" s="36">
        <v>157</v>
      </c>
    </row>
    <row r="12" spans="1:17">
      <c r="B12" s="54" t="s">
        <v>7</v>
      </c>
      <c r="F12" s="4" t="s">
        <v>11</v>
      </c>
      <c r="I12" s="7" t="s">
        <v>14</v>
      </c>
      <c r="M12" s="9">
        <f>M11/F13-1</f>
        <v>0.33901918976545842</v>
      </c>
    </row>
    <row r="13" spans="1:17">
      <c r="B13" s="54" t="s">
        <v>8</v>
      </c>
      <c r="F13" s="14">
        <v>117.25</v>
      </c>
    </row>
    <row r="14" spans="1:17">
      <c r="B14" s="54" t="s">
        <v>9</v>
      </c>
      <c r="F14" s="5">
        <v>43052</v>
      </c>
      <c r="I14" s="6" t="s">
        <v>15</v>
      </c>
      <c r="M14" s="35">
        <f>M11*M15</f>
        <v>2474.2753566400002</v>
      </c>
    </row>
    <row r="15" spans="1:17">
      <c r="I15" t="s">
        <v>16</v>
      </c>
      <c r="M15" s="20">
        <f>Shares!E15</f>
        <v>15.759715647388536</v>
      </c>
    </row>
    <row r="16" spans="1:17">
      <c r="B16" s="83" t="s">
        <v>22</v>
      </c>
      <c r="C16" s="83"/>
      <c r="D16" s="3"/>
      <c r="E16" s="3"/>
      <c r="F16" s="3"/>
    </row>
    <row r="17" spans="1:13">
      <c r="B17" s="54" t="s">
        <v>20</v>
      </c>
      <c r="F17" s="45">
        <f>H76</f>
        <v>288.8399999999998</v>
      </c>
      <c r="I17" s="7" t="s">
        <v>17</v>
      </c>
      <c r="M17" s="22">
        <f>F18</f>
        <v>205.31200000000001</v>
      </c>
    </row>
    <row r="18" spans="1:13">
      <c r="B18" s="54" t="s">
        <v>23</v>
      </c>
      <c r="F18" s="15">
        <v>205.31200000000001</v>
      </c>
      <c r="G18" s="10"/>
      <c r="H18" s="11"/>
      <c r="I18" s="7" t="s">
        <v>18</v>
      </c>
      <c r="M18" s="22">
        <f>F19</f>
        <v>49.265999999999998</v>
      </c>
    </row>
    <row r="19" spans="1:13">
      <c r="B19" s="54" t="s">
        <v>18</v>
      </c>
      <c r="F19" s="15">
        <v>49.265999999999998</v>
      </c>
    </row>
    <row r="20" spans="1:13">
      <c r="B20" s="54" t="s">
        <v>24</v>
      </c>
      <c r="F20" s="15">
        <f>F19-30.7</f>
        <v>18.565999999999999</v>
      </c>
      <c r="I20" s="6" t="s">
        <v>19</v>
      </c>
      <c r="M20" s="33">
        <f>M14+M17-M18</f>
        <v>2630.32135664</v>
      </c>
    </row>
    <row r="21" spans="1:13">
      <c r="B21" s="54" t="s">
        <v>25</v>
      </c>
      <c r="F21" s="71">
        <f>M22</f>
        <v>9.1064996421548319</v>
      </c>
      <c r="I21" t="s">
        <v>20</v>
      </c>
      <c r="M21" s="22">
        <f>F17</f>
        <v>288.8399999999998</v>
      </c>
    </row>
    <row r="22" spans="1:13">
      <c r="I22" s="6" t="s">
        <v>21</v>
      </c>
      <c r="M22" s="70">
        <f>M20/M21</f>
        <v>9.1064996421548319</v>
      </c>
    </row>
    <row r="24" spans="1:13">
      <c r="A24" t="s">
        <v>3</v>
      </c>
      <c r="B24" s="83" t="s">
        <v>26</v>
      </c>
      <c r="C24" s="83"/>
      <c r="D24" s="3"/>
      <c r="E24" s="3"/>
      <c r="F24" s="3"/>
      <c r="G24" s="2"/>
      <c r="H24" s="2"/>
      <c r="I24" s="2"/>
      <c r="J24" s="2"/>
      <c r="K24" s="2"/>
      <c r="L24" s="2"/>
      <c r="M24" s="2"/>
    </row>
    <row r="25" spans="1:13">
      <c r="G25" s="18" t="s">
        <v>30</v>
      </c>
      <c r="H25" s="18" t="s">
        <v>31</v>
      </c>
      <c r="I25" s="18" t="s">
        <v>32</v>
      </c>
      <c r="J25" s="18" t="s">
        <v>33</v>
      </c>
      <c r="K25" s="18" t="s">
        <v>34</v>
      </c>
      <c r="L25" s="18" t="s">
        <v>35</v>
      </c>
      <c r="M25" s="18" t="s">
        <v>36</v>
      </c>
    </row>
    <row r="26" spans="1:13">
      <c r="B26" s="54" t="s">
        <v>27</v>
      </c>
      <c r="G26" s="20">
        <v>1575</v>
      </c>
      <c r="H26" s="72">
        <f>G26/$F$17</f>
        <v>5.4528458662235186</v>
      </c>
      <c r="I26" s="21">
        <v>5.2999999999999999E-2</v>
      </c>
      <c r="J26" s="24">
        <v>0.02</v>
      </c>
      <c r="K26" s="38">
        <f>J26*G26</f>
        <v>31.5</v>
      </c>
      <c r="L26" s="26">
        <v>7</v>
      </c>
      <c r="M26" s="22">
        <f>K26/L26</f>
        <v>4.5</v>
      </c>
    </row>
    <row r="27" spans="1:13">
      <c r="B27" s="54" t="s">
        <v>28</v>
      </c>
      <c r="G27">
        <v>485</v>
      </c>
      <c r="H27" s="72">
        <f t="shared" ref="H27:H28" si="0">G27/$F$17</f>
        <v>1.6791303143608929</v>
      </c>
      <c r="I27" s="21">
        <v>7.2999999999999995E-2</v>
      </c>
      <c r="J27" s="24">
        <v>2.5000000000000001E-2</v>
      </c>
      <c r="K27" s="38">
        <f t="shared" ref="K27:K28" si="1">J27*G27</f>
        <v>12.125</v>
      </c>
      <c r="L27" s="26">
        <v>8</v>
      </c>
      <c r="M27" s="22">
        <f t="shared" ref="M27:M28" si="2">K27/L27</f>
        <v>1.515625</v>
      </c>
    </row>
    <row r="28" spans="1:13">
      <c r="B28" s="54" t="s">
        <v>29</v>
      </c>
      <c r="G28">
        <v>150</v>
      </c>
      <c r="H28" s="72">
        <f t="shared" si="0"/>
        <v>0.51931865392604937</v>
      </c>
      <c r="I28" s="21">
        <v>5.2999999999999999E-2</v>
      </c>
      <c r="J28" s="24">
        <v>0.02</v>
      </c>
      <c r="K28" s="38">
        <f t="shared" si="1"/>
        <v>3</v>
      </c>
      <c r="L28" s="26">
        <v>7</v>
      </c>
      <c r="M28" s="22">
        <f t="shared" si="2"/>
        <v>0.42857142857142855</v>
      </c>
    </row>
    <row r="29" spans="1:13" ht="5" customHeight="1">
      <c r="H29" s="37"/>
      <c r="I29" s="21"/>
      <c r="J29" s="24"/>
      <c r="K29" s="38"/>
      <c r="L29" s="26"/>
      <c r="M29" s="22"/>
    </row>
    <row r="30" spans="1:13">
      <c r="B30" s="84" t="s">
        <v>37</v>
      </c>
      <c r="C30" s="93"/>
      <c r="D30" s="66"/>
      <c r="E30" s="66"/>
      <c r="F30" s="66"/>
      <c r="G30" s="67">
        <f>SUM(G26:G28)</f>
        <v>2210</v>
      </c>
      <c r="H30" s="75">
        <f>SUM(H26:H28)</f>
        <v>7.6512948345104608</v>
      </c>
      <c r="I30" s="66"/>
      <c r="J30" s="66"/>
      <c r="K30" s="68">
        <f>SUM(K26:K28)</f>
        <v>46.625</v>
      </c>
      <c r="L30" s="66"/>
      <c r="M30" s="69">
        <f>SUM(M26:M28)</f>
        <v>6.4441964285714288</v>
      </c>
    </row>
    <row r="32" spans="1:13">
      <c r="A32" t="s">
        <v>3</v>
      </c>
      <c r="B32" s="82" t="s">
        <v>63</v>
      </c>
      <c r="C32" s="82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5" s="17" customFormat="1" ht="5" customHeight="1">
      <c r="B33" s="85"/>
      <c r="C33" s="85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5">
      <c r="B34" s="83" t="s">
        <v>64</v>
      </c>
      <c r="C34" s="83"/>
      <c r="D34" s="3"/>
      <c r="E34" s="3"/>
      <c r="F34" s="3"/>
      <c r="G34" s="17"/>
      <c r="H34" s="17"/>
      <c r="I34" s="3" t="s">
        <v>65</v>
      </c>
      <c r="J34" s="3"/>
      <c r="K34" s="3"/>
      <c r="L34" s="3"/>
      <c r="M34" s="3"/>
    </row>
    <row r="35" spans="1:15">
      <c r="D35" s="18" t="s">
        <v>68</v>
      </c>
      <c r="E35" s="18" t="s">
        <v>31</v>
      </c>
      <c r="F35" s="18" t="s">
        <v>69</v>
      </c>
      <c r="K35" s="18" t="s">
        <v>68</v>
      </c>
      <c r="L35" s="18" t="s">
        <v>31</v>
      </c>
      <c r="M35" s="18" t="s">
        <v>69</v>
      </c>
    </row>
    <row r="36" spans="1:15">
      <c r="B36" s="54" t="str">
        <f>B26</f>
        <v>Term Loan</v>
      </c>
      <c r="D36" s="22">
        <f>G26</f>
        <v>1575</v>
      </c>
      <c r="E36" s="73">
        <f>D36/$F$17</f>
        <v>5.4528458662235186</v>
      </c>
      <c r="F36" s="8">
        <f>D36/$D$42</f>
        <v>0.5645996337956789</v>
      </c>
      <c r="I36" t="s">
        <v>70</v>
      </c>
      <c r="K36" s="22">
        <f>M14</f>
        <v>2474.2753566400002</v>
      </c>
      <c r="L36" s="73">
        <f>K36/$F$17</f>
        <v>8.5662489843512049</v>
      </c>
      <c r="M36" s="8">
        <f>K36/$K$42</f>
        <v>0.886968228741979</v>
      </c>
    </row>
    <row r="37" spans="1:15">
      <c r="B37" s="54" t="str">
        <f>B27</f>
        <v>Senior Notes</v>
      </c>
      <c r="D37" s="20">
        <f>G27</f>
        <v>485</v>
      </c>
      <c r="E37" s="73">
        <f t="shared" ref="E37:E40" si="3">D37/$F$17</f>
        <v>1.6791303143608929</v>
      </c>
      <c r="F37" s="8">
        <f t="shared" ref="F37:F40" si="4">D37/$D$42</f>
        <v>0.17386083961327256</v>
      </c>
      <c r="I37" t="s">
        <v>71</v>
      </c>
      <c r="K37" s="22">
        <f>F18</f>
        <v>205.31200000000001</v>
      </c>
      <c r="L37" s="73">
        <f t="shared" ref="L37:L39" si="5">K37/$F$17</f>
        <v>0.71081567649910038</v>
      </c>
      <c r="M37" s="8">
        <f t="shared" ref="M37:M39" si="6">K37/$K$42</f>
        <v>7.3599415881814886E-2</v>
      </c>
    </row>
    <row r="38" spans="1:15">
      <c r="B38" s="54" t="str">
        <f>B28</f>
        <v>Revolver</v>
      </c>
      <c r="D38" s="20">
        <v>0</v>
      </c>
      <c r="E38" s="73">
        <f t="shared" si="3"/>
        <v>0</v>
      </c>
      <c r="F38" s="8">
        <f t="shared" si="4"/>
        <v>0</v>
      </c>
      <c r="I38" t="s">
        <v>72</v>
      </c>
      <c r="K38" s="20">
        <f>110-K30</f>
        <v>63.375</v>
      </c>
      <c r="L38" s="73">
        <f t="shared" si="5"/>
        <v>0.21941213128375586</v>
      </c>
      <c r="M38" s="8">
        <f t="shared" si="6"/>
        <v>2.2718413836064225E-2</v>
      </c>
    </row>
    <row r="39" spans="1:15">
      <c r="B39" s="54" t="s">
        <v>67</v>
      </c>
      <c r="D39" s="20">
        <f>F19-F20</f>
        <v>30.7</v>
      </c>
      <c r="E39" s="73">
        <f t="shared" si="3"/>
        <v>0.10628721783686478</v>
      </c>
      <c r="F39" s="8">
        <f t="shared" si="4"/>
        <v>1.1005211909541171E-2</v>
      </c>
      <c r="I39" t="s">
        <v>73</v>
      </c>
      <c r="K39" s="20">
        <f>K30</f>
        <v>46.625</v>
      </c>
      <c r="L39" s="73">
        <f t="shared" si="5"/>
        <v>0.16142154826201369</v>
      </c>
      <c r="M39" s="8">
        <f t="shared" si="6"/>
        <v>1.6713941540141924E-2</v>
      </c>
    </row>
    <row r="40" spans="1:15">
      <c r="B40" s="54" t="s">
        <v>66</v>
      </c>
      <c r="D40" s="20">
        <f>D42-D36-D37-D38-D39</f>
        <v>698.88735664000001</v>
      </c>
      <c r="E40" s="73">
        <f t="shared" si="3"/>
        <v>2.4196349419747976</v>
      </c>
      <c r="F40" s="8">
        <f t="shared" si="4"/>
        <v>0.25053431468150733</v>
      </c>
      <c r="G40" s="25"/>
      <c r="H40" s="22"/>
    </row>
    <row r="41" spans="1:15" ht="5" customHeight="1">
      <c r="E41" s="23"/>
    </row>
    <row r="42" spans="1:15">
      <c r="B42" s="84" t="s">
        <v>62</v>
      </c>
      <c r="C42" s="93"/>
      <c r="D42" s="67">
        <f>K42</f>
        <v>2789.5873566400001</v>
      </c>
      <c r="E42" s="74">
        <f>D42/$F$17</f>
        <v>9.6578983403960734</v>
      </c>
      <c r="F42" s="76">
        <f>SUM(F36:F40)</f>
        <v>1</v>
      </c>
      <c r="G42" s="66"/>
      <c r="H42" s="66"/>
      <c r="I42" s="66" t="s">
        <v>37</v>
      </c>
      <c r="J42" s="66"/>
      <c r="K42" s="67">
        <f>SUM(K36:K40)</f>
        <v>2789.5873566400001</v>
      </c>
      <c r="L42" s="74">
        <f>SUM(L36:L39)</f>
        <v>9.6578983403960752</v>
      </c>
      <c r="M42" s="77">
        <f>SUM(M36:M39)</f>
        <v>1</v>
      </c>
    </row>
    <row r="43" spans="1:15">
      <c r="D43" s="22"/>
    </row>
    <row r="44" spans="1:15">
      <c r="A44" t="s">
        <v>3</v>
      </c>
      <c r="B44" s="82" t="s">
        <v>74</v>
      </c>
      <c r="C44" s="82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5" ht="5" customHeight="1">
      <c r="A45" s="17"/>
      <c r="B45" s="85"/>
      <c r="C45" s="85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spans="1:15">
      <c r="B46" s="83" t="s">
        <v>75</v>
      </c>
      <c r="C46" s="83"/>
      <c r="D46" s="3"/>
      <c r="E46" s="3"/>
      <c r="F46" s="41">
        <v>2014</v>
      </c>
      <c r="G46" s="41">
        <v>2015</v>
      </c>
      <c r="H46" s="41">
        <v>2016</v>
      </c>
      <c r="I46" s="40">
        <v>2017</v>
      </c>
      <c r="J46" s="40">
        <v>2018</v>
      </c>
      <c r="K46" s="40">
        <v>2019</v>
      </c>
      <c r="L46" s="40">
        <v>2020</v>
      </c>
      <c r="M46" s="40">
        <v>2021</v>
      </c>
      <c r="O46" s="46" t="s">
        <v>95</v>
      </c>
    </row>
    <row r="47" spans="1:15" ht="5" customHeight="1">
      <c r="B47" s="85"/>
      <c r="C47" s="85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5">
      <c r="B48" s="86" t="s">
        <v>91</v>
      </c>
      <c r="C48" s="85"/>
      <c r="F48" s="4" t="s">
        <v>90</v>
      </c>
      <c r="G48" s="43">
        <f>G55/F55-1</f>
        <v>0.19555105020831376</v>
      </c>
      <c r="H48" s="44">
        <f>H55/G55-1</f>
        <v>9.6027410711625905E-2</v>
      </c>
      <c r="I48" s="43">
        <f>I55/H55-1</f>
        <v>4.2886702338895022E-2</v>
      </c>
      <c r="J48" s="43">
        <f t="shared" ref="J48:M48" si="7">J55/I55-1</f>
        <v>-2.3648648648648685E-2</v>
      </c>
      <c r="K48" s="43">
        <f t="shared" si="7"/>
        <v>-3.6085022244191745E-2</v>
      </c>
      <c r="L48" s="43">
        <f t="shared" si="7"/>
        <v>-3.4871794871794926E-2</v>
      </c>
      <c r="M48" s="43">
        <f t="shared" si="7"/>
        <v>-1.1158342189160453E-2</v>
      </c>
      <c r="O48" s="47">
        <v>0</v>
      </c>
    </row>
    <row r="49" spans="2:15">
      <c r="B49" s="86" t="s">
        <v>92</v>
      </c>
      <c r="C49" s="85"/>
      <c r="F49" s="43">
        <f>F61/F$55</f>
        <v>0.24375504130988648</v>
      </c>
      <c r="G49" s="43">
        <f t="shared" ref="G49:H49" si="8">G61/G$55</f>
        <v>0.229896807122107</v>
      </c>
      <c r="H49" s="43">
        <f t="shared" si="8"/>
        <v>0.21598274203704154</v>
      </c>
      <c r="I49" s="43">
        <f>H49</f>
        <v>0.21598274203704154</v>
      </c>
      <c r="J49" s="43">
        <f>I49+$O$49</f>
        <v>0.23348274203704156</v>
      </c>
      <c r="K49" s="43">
        <f t="shared" ref="K49:M49" si="9">J49+$O$49</f>
        <v>0.25098274203704157</v>
      </c>
      <c r="L49" s="43">
        <f t="shared" si="9"/>
        <v>0.26848274203704159</v>
      </c>
      <c r="M49" s="43">
        <f t="shared" si="9"/>
        <v>0.2859827420370416</v>
      </c>
      <c r="O49" s="48">
        <v>1.7500000000000002E-2</v>
      </c>
    </row>
    <row r="50" spans="2:15">
      <c r="B50" s="86" t="s">
        <v>96</v>
      </c>
      <c r="C50" s="85"/>
      <c r="F50" s="43">
        <f>F64/F55</f>
        <v>8.930678402847074E-2</v>
      </c>
      <c r="G50" s="43">
        <f t="shared" ref="G50:H50" si="10">G64/G55</f>
        <v>8.3161676197453335E-2</v>
      </c>
      <c r="H50" s="43">
        <f t="shared" si="10"/>
        <v>7.0602725095165936E-2</v>
      </c>
      <c r="I50" s="43">
        <f>H50</f>
        <v>7.0602725095165936E-2</v>
      </c>
      <c r="J50" s="43">
        <f>I50-$O$50</f>
        <v>6.8102725095165934E-2</v>
      </c>
      <c r="K50" s="43">
        <f t="shared" ref="K50:M50" si="11">J50-$O$50</f>
        <v>6.5602725095165931E-2</v>
      </c>
      <c r="L50" s="43">
        <f t="shared" si="11"/>
        <v>6.3102725095165929E-2</v>
      </c>
      <c r="M50" s="43">
        <f t="shared" si="11"/>
        <v>6.0602725095165927E-2</v>
      </c>
      <c r="O50" s="48">
        <v>2.5000000000000001E-3</v>
      </c>
    </row>
    <row r="51" spans="2:15">
      <c r="B51" s="86" t="s">
        <v>87</v>
      </c>
      <c r="C51" s="85"/>
      <c r="F51" s="43">
        <f>F91/F88</f>
        <v>0.30483211086948514</v>
      </c>
      <c r="G51" s="43">
        <f t="shared" ref="G51:H51" si="12">G91/G88</f>
        <v>0.30018986927391367</v>
      </c>
      <c r="H51" s="43">
        <f t="shared" si="12"/>
        <v>0.30357197351155096</v>
      </c>
      <c r="I51" s="43">
        <f>H51</f>
        <v>0.30357197351155096</v>
      </c>
      <c r="J51" s="43">
        <f>I51-$O$51</f>
        <v>0.30107197351155096</v>
      </c>
      <c r="K51" s="43">
        <f t="shared" ref="K51:M51" si="13">J51-$O$51</f>
        <v>0.29857197351155096</v>
      </c>
      <c r="L51" s="43">
        <f t="shared" si="13"/>
        <v>0.29607197351155096</v>
      </c>
      <c r="M51" s="43">
        <f t="shared" si="13"/>
        <v>0.29357197351155095</v>
      </c>
      <c r="O51" s="48">
        <v>2.5000000000000001E-3</v>
      </c>
    </row>
    <row r="52" spans="2:15">
      <c r="B52" s="87"/>
      <c r="C52" s="8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2:15">
      <c r="B53" s="83" t="s">
        <v>76</v>
      </c>
      <c r="C53" s="83"/>
      <c r="D53" s="3"/>
      <c r="E53" s="3"/>
      <c r="F53" s="41">
        <v>2014</v>
      </c>
      <c r="G53" s="41">
        <v>2015</v>
      </c>
      <c r="H53" s="41">
        <v>2016</v>
      </c>
      <c r="I53" s="40">
        <v>2017</v>
      </c>
      <c r="J53" s="40">
        <v>2018</v>
      </c>
      <c r="K53" s="40">
        <v>2019</v>
      </c>
      <c r="L53" s="40">
        <v>2020</v>
      </c>
      <c r="M53" s="40">
        <v>2021</v>
      </c>
    </row>
    <row r="54" spans="2:15" ht="5" customHeight="1"/>
    <row r="55" spans="2:15">
      <c r="B55" s="54" t="s">
        <v>77</v>
      </c>
      <c r="F55" s="20">
        <v>1516.223</v>
      </c>
      <c r="G55" s="20">
        <v>1812.722</v>
      </c>
      <c r="H55" s="20">
        <v>1986.7929999999999</v>
      </c>
      <c r="I55" s="20">
        <v>2072</v>
      </c>
      <c r="J55" s="20">
        <v>2023</v>
      </c>
      <c r="K55" s="20">
        <v>1950</v>
      </c>
      <c r="L55" s="20">
        <v>1882</v>
      </c>
      <c r="M55" s="20">
        <v>1861</v>
      </c>
    </row>
    <row r="56" spans="2:15">
      <c r="B56" s="88" t="s">
        <v>78</v>
      </c>
      <c r="F56" s="8"/>
      <c r="G56" s="8">
        <f>G55/F55-1</f>
        <v>0.19555105020831376</v>
      </c>
      <c r="H56" s="8">
        <f>H55/G55-1</f>
        <v>9.6027410711625905E-2</v>
      </c>
      <c r="I56" s="8">
        <f t="shared" ref="I56:M56" si="14">I55/H55-1</f>
        <v>4.2886702338895022E-2</v>
      </c>
      <c r="J56" s="8">
        <f t="shared" si="14"/>
        <v>-2.3648648648648685E-2</v>
      </c>
      <c r="K56" s="8">
        <f t="shared" si="14"/>
        <v>-3.6085022244191745E-2</v>
      </c>
      <c r="L56" s="8">
        <f t="shared" si="14"/>
        <v>-3.4871794871794926E-2</v>
      </c>
      <c r="M56" s="8">
        <f t="shared" si="14"/>
        <v>-1.1158342189160453E-2</v>
      </c>
    </row>
    <row r="57" spans="2:15">
      <c r="F57" s="20"/>
      <c r="G57" s="20"/>
      <c r="H57" s="20"/>
    </row>
    <row r="58" spans="2:15">
      <c r="B58" s="54" t="s">
        <v>79</v>
      </c>
      <c r="F58" s="20">
        <f>(413890+444232+209583+78931)/1000</f>
        <v>1146.636</v>
      </c>
      <c r="G58" s="20">
        <f>(507812+542847+250755+94569)/1000</f>
        <v>1395.9829999999999</v>
      </c>
      <c r="H58" s="20">
        <f>(564687+598992+285142+108859)/1000</f>
        <v>1557.68</v>
      </c>
      <c r="I58" s="50">
        <f>IF(F6=2,"--",I55-I61)</f>
        <v>1624.4837584992499</v>
      </c>
      <c r="J58" s="50">
        <f>IF(Case=2,"--",J55-J61)</f>
        <v>1550.6644128590649</v>
      </c>
      <c r="K58" s="50">
        <f>IF(Case=2,"--",K55-K61)</f>
        <v>1460.5836530277688</v>
      </c>
      <c r="L58" s="50">
        <f>IF(Case=2,"--",L55-L61)</f>
        <v>1376.7154794862877</v>
      </c>
      <c r="M58" s="50">
        <f>IF(Case=2,"--",M55-M61)</f>
        <v>1328.7861170690655</v>
      </c>
    </row>
    <row r="59" spans="2:15">
      <c r="B59" s="89" t="s">
        <v>80</v>
      </c>
      <c r="F59" s="42">
        <f>F58/F55</f>
        <v>0.75624495869011354</v>
      </c>
      <c r="G59" s="42">
        <f t="shared" ref="G59:H59" si="15">G58/G55</f>
        <v>0.77010319287789297</v>
      </c>
      <c r="H59" s="42">
        <f t="shared" si="15"/>
        <v>0.78401725796295851</v>
      </c>
      <c r="I59" s="51">
        <f>IF(Case=2,"--",I58/I55)</f>
        <v>0.7840172579629584</v>
      </c>
      <c r="J59" s="51">
        <f>IF(Case=2,"--",J58/J55)</f>
        <v>0.76651725796295844</v>
      </c>
      <c r="K59" s="51">
        <f>IF(Case=2,"--",K58/K55)</f>
        <v>0.74901725796295837</v>
      </c>
      <c r="L59" s="51">
        <f>IF(Case=2,"--",L58/L55)</f>
        <v>0.73151725796295841</v>
      </c>
      <c r="M59" s="51">
        <f>IF(Case=2,"--",M58/M55)</f>
        <v>0.71401725796295834</v>
      </c>
    </row>
    <row r="60" spans="2:15">
      <c r="F60" s="20">
        <v>0</v>
      </c>
      <c r="G60" s="20">
        <v>0</v>
      </c>
      <c r="H60" s="20">
        <v>0</v>
      </c>
      <c r="I60" s="52"/>
      <c r="J60" s="52"/>
      <c r="K60" s="52"/>
      <c r="L60" s="52"/>
      <c r="M60" s="50"/>
    </row>
    <row r="61" spans="2:15">
      <c r="B61" s="54" t="s">
        <v>81</v>
      </c>
      <c r="F61" s="20">
        <f>(F55-F58)</f>
        <v>369.58699999999999</v>
      </c>
      <c r="G61" s="20">
        <f t="shared" ref="G61:H61" si="16">(G55-G58)</f>
        <v>416.73900000000003</v>
      </c>
      <c r="H61" s="20">
        <f t="shared" si="16"/>
        <v>429.11299999999983</v>
      </c>
      <c r="I61" s="53">
        <f>IF(Case=2,"--",I55*I49)</f>
        <v>447.51624150075008</v>
      </c>
      <c r="J61" s="53">
        <f>IF(Case=2,"--",J55*J49)</f>
        <v>472.33558714093505</v>
      </c>
      <c r="K61" s="53">
        <f>IF(Case=2,"--",K55*K49)</f>
        <v>489.41634697223105</v>
      </c>
      <c r="L61" s="53">
        <f>IF(Case=2,"--",L55*L49)</f>
        <v>505.28452051371227</v>
      </c>
      <c r="M61" s="53">
        <f>IF(Case=2,"--",M55*M49)</f>
        <v>532.21388293093446</v>
      </c>
    </row>
    <row r="62" spans="2:15">
      <c r="B62" s="89" t="s">
        <v>80</v>
      </c>
      <c r="F62" s="42">
        <f>F61/F55</f>
        <v>0.24375504130988648</v>
      </c>
      <c r="G62" s="42">
        <f t="shared" ref="G62:H62" si="17">G61/G55</f>
        <v>0.229896807122107</v>
      </c>
      <c r="H62" s="42">
        <f t="shared" si="17"/>
        <v>0.21598274203704154</v>
      </c>
      <c r="I62" s="51">
        <f>IF(Case=2,"--",I61/I55)</f>
        <v>0.21598274203704154</v>
      </c>
      <c r="J62" s="51">
        <f>IF(Case=2,"--",J61/J55)</f>
        <v>0.23348274203704156</v>
      </c>
      <c r="K62" s="51">
        <f>IF(Case=2,"--",K61/K55)</f>
        <v>0.25098274203704157</v>
      </c>
      <c r="L62" s="51">
        <f>IF(Case=2,"--",L61/L55)</f>
        <v>0.26848274203704159</v>
      </c>
      <c r="M62" s="51">
        <f>IF(Case=2,"--",M61/M55)</f>
        <v>0.2859827420370416</v>
      </c>
    </row>
    <row r="63" spans="2:15">
      <c r="F63" s="20"/>
      <c r="G63" s="20"/>
      <c r="H63" s="20"/>
      <c r="I63" s="52"/>
      <c r="J63" s="52"/>
      <c r="K63" s="52"/>
      <c r="L63" s="52"/>
      <c r="M63" s="52"/>
    </row>
    <row r="64" spans="2:15">
      <c r="B64" s="90" t="s">
        <v>82</v>
      </c>
      <c r="F64" s="20">
        <f>(118038+13544+3827)/1000</f>
        <v>135.40899999999999</v>
      </c>
      <c r="G64" s="20">
        <f>(129133+14154+7462)/1000</f>
        <v>150.749</v>
      </c>
      <c r="H64" s="20">
        <f>(123109+8730+8434)/1000</f>
        <v>140.273</v>
      </c>
      <c r="I64" s="50">
        <f>IF(Case=2,"--",I55*I50)</f>
        <v>146.28884639718382</v>
      </c>
      <c r="J64" s="50">
        <f>IF(Case=2,"--",J55*J50)</f>
        <v>137.77181286752068</v>
      </c>
      <c r="K64" s="50">
        <f>IF(Case=2,"--",K55*K50)</f>
        <v>127.92531393557357</v>
      </c>
      <c r="L64" s="50">
        <f>IF(Case=2,"--",L55*L50)</f>
        <v>118.75932862910228</v>
      </c>
      <c r="M64" s="50">
        <f>IF(Case=2,"--",M55*M50)</f>
        <v>112.7816714021038</v>
      </c>
    </row>
    <row r="65" spans="2:13">
      <c r="B65" s="89" t="s">
        <v>80</v>
      </c>
      <c r="F65" s="42">
        <f>F64/F55</f>
        <v>8.930678402847074E-2</v>
      </c>
      <c r="G65" s="42">
        <f t="shared" ref="G65:H65" si="18">G64/G55</f>
        <v>8.3161676197453335E-2</v>
      </c>
      <c r="H65" s="42">
        <f t="shared" si="18"/>
        <v>7.0602725095165936E-2</v>
      </c>
      <c r="I65" s="51">
        <f>IF(Case=2,"--",I64/I55)</f>
        <v>7.0602725095165936E-2</v>
      </c>
      <c r="J65" s="51">
        <f>IF(Case=2,"--",J64/J55)</f>
        <v>6.8102725095165934E-2</v>
      </c>
      <c r="K65" s="51">
        <f>IF(Case=2,"--",K64/K55)</f>
        <v>6.5602725095165931E-2</v>
      </c>
      <c r="L65" s="51">
        <f>IF(Case=2,"--",L64/L55)</f>
        <v>6.3102725095165929E-2</v>
      </c>
      <c r="M65" s="51">
        <f>IF(Case=2,"--",M64/M55)</f>
        <v>6.0602725095165934E-2</v>
      </c>
    </row>
    <row r="66" spans="2:13">
      <c r="B66" s="89"/>
      <c r="F66" s="42"/>
      <c r="G66" s="42"/>
      <c r="H66" s="42"/>
      <c r="I66" s="42"/>
      <c r="J66" s="42"/>
      <c r="K66" s="42"/>
      <c r="L66" s="42"/>
      <c r="M66" s="42"/>
    </row>
    <row r="67" spans="2:13">
      <c r="B67" s="91" t="s">
        <v>101</v>
      </c>
      <c r="C67" s="94"/>
      <c r="D67" s="55"/>
      <c r="E67" s="55"/>
      <c r="F67" s="61"/>
      <c r="G67" s="61"/>
      <c r="H67" s="61"/>
      <c r="I67" s="62">
        <f>CHOOSE(Case,I73,I79)</f>
        <v>175.19506177023294</v>
      </c>
      <c r="J67" s="62">
        <f>CHOOSE(Case,J73,J79)</f>
        <v>199.33866316230328</v>
      </c>
      <c r="K67" s="62">
        <f>CHOOSE(Case,K73,K79)</f>
        <v>223.69188488850935</v>
      </c>
      <c r="L67" s="62">
        <f>CHOOSE(Case,L73,L79)</f>
        <v>253.50632768707911</v>
      </c>
      <c r="M67" s="63">
        <f>CHOOSE(Case,M73,M79)</f>
        <v>284.08450370990056</v>
      </c>
    </row>
    <row r="68" spans="2:13">
      <c r="B68" s="151" t="s">
        <v>80</v>
      </c>
      <c r="C68" s="146"/>
      <c r="D68" s="147"/>
      <c r="E68" s="147"/>
      <c r="F68" s="148"/>
      <c r="G68" s="148"/>
      <c r="H68" s="148"/>
      <c r="I68" s="148">
        <f>I67/I55</f>
        <v>8.4553601240459908E-2</v>
      </c>
      <c r="J68" s="148">
        <f>J67/J55</f>
        <v>9.8536165675879028E-2</v>
      </c>
      <c r="K68" s="148">
        <f>K67/K55</f>
        <v>0.11471378712231249</v>
      </c>
      <c r="L68" s="148">
        <f>L67/L55</f>
        <v>0.13470049292618444</v>
      </c>
      <c r="M68" s="152">
        <f>M67/M55</f>
        <v>0.15265153342821094</v>
      </c>
    </row>
    <row r="69" spans="2:13">
      <c r="B69" s="151"/>
      <c r="C69" s="146"/>
      <c r="D69" s="147"/>
      <c r="E69" s="147"/>
      <c r="F69" s="148"/>
      <c r="G69" s="148"/>
      <c r="H69" s="148"/>
      <c r="I69" s="148"/>
      <c r="J69" s="148"/>
      <c r="K69" s="148"/>
      <c r="L69" s="148"/>
      <c r="M69" s="152"/>
    </row>
    <row r="70" spans="2:13">
      <c r="B70" s="145" t="s">
        <v>97</v>
      </c>
      <c r="C70" s="146"/>
      <c r="D70" s="147"/>
      <c r="E70" s="147"/>
      <c r="F70" s="148"/>
      <c r="G70" s="148"/>
      <c r="H70" s="148"/>
      <c r="I70" s="149">
        <f>CHOOSE(Case,I76,I82)</f>
        <v>301.22739510356627</v>
      </c>
      <c r="J70" s="149">
        <f>CHOOSE(Case,J76,J82)</f>
        <v>334.56377427341437</v>
      </c>
      <c r="K70" s="149">
        <f>CHOOSE(Case,K76,K82)</f>
        <v>361.49103303665748</v>
      </c>
      <c r="L70" s="149">
        <f>CHOOSE(Case,L76,L82)</f>
        <v>386.52519188460997</v>
      </c>
      <c r="M70" s="150">
        <f>CHOOSE(Case,M76,M82)</f>
        <v>419.43221152883063</v>
      </c>
    </row>
    <row r="71" spans="2:13">
      <c r="B71" s="92" t="s">
        <v>80</v>
      </c>
      <c r="C71" s="95"/>
      <c r="D71" s="58"/>
      <c r="E71" s="58"/>
      <c r="F71" s="64"/>
      <c r="G71" s="64"/>
      <c r="H71" s="64"/>
      <c r="I71" s="64">
        <f>I70/I55</f>
        <v>0.14538001694187561</v>
      </c>
      <c r="J71" s="64">
        <f t="shared" ref="J71:M71" si="19">J70/J55</f>
        <v>0.16538001694187562</v>
      </c>
      <c r="K71" s="64">
        <f t="shared" si="19"/>
        <v>0.18538001694187564</v>
      </c>
      <c r="L71" s="64">
        <f t="shared" si="19"/>
        <v>0.20538001694187566</v>
      </c>
      <c r="M71" s="65">
        <f t="shared" si="19"/>
        <v>0.22538001694187568</v>
      </c>
    </row>
    <row r="72" spans="2:13">
      <c r="F72" s="20"/>
      <c r="G72" s="20"/>
      <c r="H72" s="20"/>
      <c r="I72" s="20"/>
    </row>
    <row r="73" spans="2:13">
      <c r="B73" s="90" t="s">
        <v>102</v>
      </c>
      <c r="F73" s="20">
        <f>F61-F64-F116</f>
        <v>135.72399999999999</v>
      </c>
      <c r="G73" s="20">
        <f>G61-G64-G116</f>
        <v>138.48700000000002</v>
      </c>
      <c r="H73" s="20">
        <f>H61-H64-H116</f>
        <v>136.69999999999982</v>
      </c>
      <c r="I73" s="20">
        <f>IF(Case=1,I61-I64-I116,IF(Case=2,I73,I61-I64-I119))</f>
        <v>175.19506177023294</v>
      </c>
      <c r="J73" s="20">
        <f>IF(Case=1,J61-J64-J116,IF(Case=2,J73,J61-J64-J119))</f>
        <v>199.33866316230328</v>
      </c>
      <c r="K73" s="20">
        <f>IF(Case=1,K61-K64-K116,IF(Case=2,K73,K61-K64-K119))</f>
        <v>223.69188488850935</v>
      </c>
      <c r="L73" s="20">
        <f>IF(Case=1,L61-L64-L116,IF(Case=2,L73,L61-L64-L119))</f>
        <v>253.50632768707911</v>
      </c>
      <c r="M73" s="20">
        <f>IF(Case=1,M61-M64-M116,IF(Case=2,M73,M61-M64-M119))</f>
        <v>284.08450370990056</v>
      </c>
    </row>
    <row r="74" spans="2:13">
      <c r="B74" s="89" t="s">
        <v>80</v>
      </c>
      <c r="F74" s="42">
        <f>F73/F55</f>
        <v>8.9514537109646797E-2</v>
      </c>
      <c r="G74" s="42">
        <f>G73/G55</f>
        <v>7.6397263342089974E-2</v>
      </c>
      <c r="H74" s="42">
        <f>H73/H55</f>
        <v>6.8804349522068889E-2</v>
      </c>
      <c r="I74" s="42">
        <f>I73/I55</f>
        <v>8.4553601240459908E-2</v>
      </c>
      <c r="J74" s="42">
        <f>J73/J55</f>
        <v>9.8536165675879028E-2</v>
      </c>
      <c r="K74" s="42">
        <f>K73/K55</f>
        <v>0.11471378712231249</v>
      </c>
      <c r="L74" s="42">
        <f>L73/L55</f>
        <v>0.13470049292618444</v>
      </c>
      <c r="M74" s="42">
        <f>M73/M55</f>
        <v>0.15265153342821094</v>
      </c>
    </row>
    <row r="75" spans="2:13">
      <c r="B75" s="89"/>
      <c r="F75" s="42"/>
      <c r="G75" s="42"/>
      <c r="H75" s="42"/>
      <c r="I75" s="42"/>
      <c r="J75" s="42"/>
      <c r="K75" s="42"/>
      <c r="L75" s="42"/>
      <c r="M75" s="42"/>
    </row>
    <row r="76" spans="2:13">
      <c r="B76" s="90" t="s">
        <v>103</v>
      </c>
      <c r="F76" s="20">
        <f>F73+F116</f>
        <v>234.178</v>
      </c>
      <c r="G76" s="20">
        <f>G73+G116</f>
        <v>265.99</v>
      </c>
      <c r="H76" s="20">
        <f>H73+H116</f>
        <v>288.8399999999998</v>
      </c>
      <c r="I76" s="20">
        <f>IF(Case=1,I73+I116,IF(Case=2,I76,I73+I119))</f>
        <v>301.22739510356627</v>
      </c>
      <c r="J76" s="20">
        <f>IF(Case=1,J73+J116,IF(Case=2,J76,J73+J119))</f>
        <v>334.56377427341437</v>
      </c>
      <c r="K76" s="20">
        <f>IF(Case=1,K73+K116,IF(Case=2,K76,K73+K119))</f>
        <v>361.49103303665748</v>
      </c>
      <c r="L76" s="20">
        <f>IF(Case=1,L73+L116,IF(Case=2,L76,L73+L119))</f>
        <v>386.52519188460997</v>
      </c>
      <c r="M76" s="20">
        <f>IF(Case=1,M73+M116,IF(Case=2,M76,M73+M119))</f>
        <v>419.43221152883063</v>
      </c>
    </row>
    <row r="77" spans="2:13">
      <c r="B77" s="89" t="s">
        <v>80</v>
      </c>
      <c r="F77" s="8">
        <f>F76/F55</f>
        <v>0.15444825728141573</v>
      </c>
      <c r="G77" s="8">
        <f>G76/G55</f>
        <v>0.14673513092465365</v>
      </c>
      <c r="H77" s="8">
        <f>H76/H55</f>
        <v>0.14538001694187558</v>
      </c>
      <c r="I77" s="8">
        <f>I76/I55</f>
        <v>0.14538001694187561</v>
      </c>
      <c r="J77" s="8">
        <f>J76/J55</f>
        <v>0.16538001694187562</v>
      </c>
      <c r="K77" s="8">
        <f>K76/K55</f>
        <v>0.18538001694187564</v>
      </c>
      <c r="L77" s="8">
        <f>L76/L55</f>
        <v>0.20538001694187566</v>
      </c>
      <c r="M77" s="8">
        <f>M76/M55</f>
        <v>0.22538001694187568</v>
      </c>
    </row>
    <row r="78" spans="2:13">
      <c r="F78" s="20"/>
      <c r="G78" s="20"/>
      <c r="H78" s="20"/>
    </row>
    <row r="79" spans="2:13">
      <c r="B79" s="90" t="s">
        <v>83</v>
      </c>
      <c r="F79" s="20"/>
      <c r="G79" s="20"/>
      <c r="H79" s="20"/>
      <c r="I79" s="31">
        <f>I82-I119</f>
        <v>107</v>
      </c>
      <c r="J79" s="31">
        <f>J82-J119</f>
        <v>123</v>
      </c>
      <c r="K79" s="31">
        <f>K82-K119</f>
        <v>138</v>
      </c>
      <c r="L79" s="31">
        <f>L82-L119</f>
        <v>165</v>
      </c>
      <c r="M79" s="31">
        <f>M82-M119</f>
        <v>197</v>
      </c>
    </row>
    <row r="80" spans="2:13">
      <c r="B80" s="89" t="s">
        <v>80</v>
      </c>
      <c r="F80" s="42"/>
      <c r="G80" s="42"/>
      <c r="H80" s="42"/>
      <c r="I80" s="8">
        <f>I79/I55</f>
        <v>5.1640926640926642E-2</v>
      </c>
      <c r="J80" s="8">
        <f>J79/J55</f>
        <v>6.0800790904597134E-2</v>
      </c>
      <c r="K80" s="8">
        <f>K79/K55</f>
        <v>7.0769230769230765E-2</v>
      </c>
      <c r="L80" s="8">
        <f>L79/L55</f>
        <v>8.7672688629117965E-2</v>
      </c>
      <c r="M80" s="8">
        <f>M79/M55</f>
        <v>0.10585706609349813</v>
      </c>
    </row>
    <row r="81" spans="2:13">
      <c r="B81" s="89"/>
      <c r="F81" s="42"/>
      <c r="G81" s="42"/>
      <c r="H81" s="42"/>
      <c r="I81" s="31"/>
    </row>
    <row r="82" spans="2:13">
      <c r="B82" s="90" t="s">
        <v>99</v>
      </c>
      <c r="F82" s="42"/>
      <c r="G82" s="42"/>
      <c r="H82" s="42"/>
      <c r="I82">
        <v>259</v>
      </c>
      <c r="J82">
        <v>266</v>
      </c>
      <c r="K82">
        <v>265</v>
      </c>
      <c r="L82">
        <v>277</v>
      </c>
      <c r="M82">
        <v>296</v>
      </c>
    </row>
    <row r="83" spans="2:13">
      <c r="B83" s="89" t="s">
        <v>80</v>
      </c>
      <c r="F83" s="42"/>
      <c r="G83" s="42"/>
      <c r="H83" s="42"/>
      <c r="I83" s="8">
        <f>I82/I55</f>
        <v>0.125</v>
      </c>
      <c r="J83" s="8">
        <f>J82/J55</f>
        <v>0.13148788927335639</v>
      </c>
      <c r="K83" s="8">
        <f>K82/K55</f>
        <v>0.13589743589743589</v>
      </c>
      <c r="L83" s="8">
        <f>L82/L55</f>
        <v>0.14718384697130713</v>
      </c>
      <c r="M83" s="8">
        <f>M82/M55</f>
        <v>0.15905427189682966</v>
      </c>
    </row>
    <row r="84" spans="2:13">
      <c r="B84" s="89"/>
      <c r="F84" s="42"/>
      <c r="G84" s="42"/>
      <c r="H84" s="42"/>
    </row>
    <row r="85" spans="2:13">
      <c r="B85" s="54" t="s">
        <v>84</v>
      </c>
      <c r="F85" s="20">
        <v>0.193</v>
      </c>
      <c r="G85" s="20">
        <v>1.6850000000000001</v>
      </c>
      <c r="H85" s="20">
        <v>4.16</v>
      </c>
      <c r="I85" s="139">
        <f ca="1">I176</f>
        <v>118.88</v>
      </c>
      <c r="J85" s="139">
        <f t="shared" ref="J85:M85" ca="1" si="20">J176</f>
        <v>118.40671998733531</v>
      </c>
      <c r="K85" s="139">
        <f t="shared" ca="1" si="20"/>
        <v>115.05778730509716</v>
      </c>
      <c r="L85" s="139">
        <f t="shared" ca="1" si="20"/>
        <v>108.18901868014686</v>
      </c>
      <c r="M85" s="139">
        <f t="shared" ca="1" si="20"/>
        <v>100.74907469592559</v>
      </c>
    </row>
    <row r="86" spans="2:13">
      <c r="B86" s="54" t="s">
        <v>85</v>
      </c>
      <c r="F86" s="20">
        <v>0.124</v>
      </c>
      <c r="G86" s="20">
        <v>0.66100000000000003</v>
      </c>
      <c r="H86" s="20">
        <v>-1.464</v>
      </c>
      <c r="I86" s="139">
        <f>I167</f>
        <v>-1.4639999999999997</v>
      </c>
      <c r="J86" s="139">
        <f t="shared" ref="J86:M86" si="21">J167</f>
        <v>-1.4639999999999997</v>
      </c>
      <c r="K86" s="139">
        <f t="shared" si="21"/>
        <v>-1.4639999999999997</v>
      </c>
      <c r="L86" s="139">
        <f t="shared" si="21"/>
        <v>-1.4639999999999997</v>
      </c>
      <c r="M86" s="139">
        <f t="shared" si="21"/>
        <v>-1.4639999999999997</v>
      </c>
    </row>
    <row r="88" spans="2:13">
      <c r="B88" s="90" t="s">
        <v>86</v>
      </c>
      <c r="F88" s="22">
        <f>F73-F85+F86</f>
        <v>135.65499999999997</v>
      </c>
      <c r="G88" s="22">
        <f>G73-G85+G86</f>
        <v>137.46300000000002</v>
      </c>
      <c r="H88" s="22">
        <f>H73-H85+H86</f>
        <v>131.07599999999982</v>
      </c>
      <c r="I88" s="22">
        <f ca="1">I67-I85+I86</f>
        <v>54.851061770232945</v>
      </c>
      <c r="J88" s="22">
        <f ca="1">J67-J85+J86</f>
        <v>79.467943174967971</v>
      </c>
      <c r="K88" s="22">
        <f ca="1">K67-K85+K86</f>
        <v>107.17009758341219</v>
      </c>
      <c r="L88" s="22">
        <f ca="1">L67-L85+L86</f>
        <v>143.85330900693225</v>
      </c>
      <c r="M88" s="22">
        <f ca="1">M67-M85+M86</f>
        <v>181.87142901397499</v>
      </c>
    </row>
    <row r="89" spans="2:13">
      <c r="B89" s="89" t="s">
        <v>80</v>
      </c>
      <c r="F89" s="8">
        <f>F88/F55</f>
        <v>8.9469029291865357E-2</v>
      </c>
      <c r="G89" s="8">
        <f>G88/G55</f>
        <v>7.5832367014909086E-2</v>
      </c>
      <c r="H89" s="8">
        <f>H88/H55</f>
        <v>6.5973657044291895E-2</v>
      </c>
      <c r="I89" s="8">
        <f ca="1">I88/I55</f>
        <v>2.6472520159378836E-2</v>
      </c>
      <c r="J89" s="8">
        <f ca="1">J88/J55</f>
        <v>3.9282225988614916E-2</v>
      </c>
      <c r="K89" s="8">
        <f ca="1">K88/K55</f>
        <v>5.4959024401749837E-2</v>
      </c>
      <c r="L89" s="8">
        <f ca="1">L88/L55</f>
        <v>7.6436402235351891E-2</v>
      </c>
      <c r="M89" s="8">
        <f ca="1">M88/M55</f>
        <v>9.7727796353559909E-2</v>
      </c>
    </row>
    <row r="91" spans="2:13">
      <c r="B91" s="54" t="s">
        <v>87</v>
      </c>
      <c r="F91" s="20">
        <v>41.351999999999997</v>
      </c>
      <c r="G91" s="20">
        <v>41.265000000000001</v>
      </c>
      <c r="H91" s="20">
        <v>39.790999999999997</v>
      </c>
      <c r="I91" s="20">
        <f ca="1">I88*I51</f>
        <v>16.6512450707936</v>
      </c>
      <c r="J91" s="20">
        <f ca="1">J88*J51</f>
        <v>23.925570482591393</v>
      </c>
      <c r="K91" s="20">
        <f ca="1">K88*K51</f>
        <v>31.997987536904876</v>
      </c>
      <c r="L91" s="20">
        <f ca="1">L88*L51</f>
        <v>42.590933093849401</v>
      </c>
      <c r="M91" s="20">
        <f ca="1">M88*M51</f>
        <v>53.392354340998587</v>
      </c>
    </row>
    <row r="92" spans="2:13">
      <c r="B92" s="89" t="s">
        <v>88</v>
      </c>
      <c r="F92" s="8">
        <f>F91/F88</f>
        <v>0.30483211086948514</v>
      </c>
      <c r="G92" s="8">
        <f t="shared" ref="G92:H92" si="22">G91/G88</f>
        <v>0.30018986927391367</v>
      </c>
      <c r="H92" s="8">
        <f t="shared" si="22"/>
        <v>0.30357197351155096</v>
      </c>
      <c r="I92" s="8">
        <f t="shared" ref="I92" ca="1" si="23">I91/I88</f>
        <v>0.30357197351155091</v>
      </c>
      <c r="J92" s="8">
        <f t="shared" ref="J92" ca="1" si="24">J91/J88</f>
        <v>0.30107197351155096</v>
      </c>
      <c r="K92" s="8">
        <f t="shared" ref="K92" ca="1" si="25">K91/K88</f>
        <v>0.29857197351155096</v>
      </c>
      <c r="L92" s="8">
        <f t="shared" ref="L92" ca="1" si="26">L91/L88</f>
        <v>0.29607197351155096</v>
      </c>
      <c r="M92" s="8">
        <f t="shared" ref="M92" ca="1" si="27">M91/M88</f>
        <v>0.29357197351155095</v>
      </c>
    </row>
    <row r="94" spans="2:13">
      <c r="B94" s="91" t="s">
        <v>89</v>
      </c>
      <c r="C94" s="94"/>
      <c r="D94" s="55"/>
      <c r="E94" s="55"/>
      <c r="F94" s="56">
        <f>F88-F91</f>
        <v>94.302999999999969</v>
      </c>
      <c r="G94" s="56">
        <f t="shared" ref="G94:H94" si="28">G88-G91</f>
        <v>96.198000000000022</v>
      </c>
      <c r="H94" s="56">
        <f t="shared" si="28"/>
        <v>91.284999999999826</v>
      </c>
      <c r="I94" s="56">
        <f t="shared" ref="I94:M94" ca="1" si="29">I88-I91</f>
        <v>38.199816699439346</v>
      </c>
      <c r="J94" s="56">
        <f t="shared" ca="1" si="29"/>
        <v>55.542372692376574</v>
      </c>
      <c r="K94" s="56">
        <f t="shared" ca="1" si="29"/>
        <v>75.172110046507314</v>
      </c>
      <c r="L94" s="56">
        <f t="shared" ca="1" si="29"/>
        <v>101.26237591308285</v>
      </c>
      <c r="M94" s="57">
        <f t="shared" ca="1" si="29"/>
        <v>128.4790746729764</v>
      </c>
    </row>
    <row r="95" spans="2:13">
      <c r="B95" s="92" t="s">
        <v>80</v>
      </c>
      <c r="C95" s="95"/>
      <c r="D95" s="58"/>
      <c r="E95" s="58"/>
      <c r="F95" s="59">
        <f>F94/F55</f>
        <v>6.2195996235382245E-2</v>
      </c>
      <c r="G95" s="59">
        <f>G94/G55</f>
        <v>5.3068258673972087E-2</v>
      </c>
      <c r="H95" s="59">
        <f>H94/H55</f>
        <v>4.594590377558197E-2</v>
      </c>
      <c r="I95" s="59">
        <f ca="1">I94/I55</f>
        <v>1.8436204970771884E-2</v>
      </c>
      <c r="J95" s="59">
        <f ca="1">J94/J55</f>
        <v>2.7455448686295885E-2</v>
      </c>
      <c r="K95" s="59">
        <f ca="1">K94/K55</f>
        <v>3.8549800023849903E-2</v>
      </c>
      <c r="L95" s="59">
        <f ca="1">L94/L55</f>
        <v>5.3805725777408525E-2</v>
      </c>
      <c r="M95" s="60">
        <f ca="1">M94/M55</f>
        <v>6.9037654311110364E-2</v>
      </c>
    </row>
    <row r="97" spans="1:17">
      <c r="A97" t="s">
        <v>3</v>
      </c>
      <c r="B97" s="83" t="s">
        <v>93</v>
      </c>
      <c r="C97" s="83"/>
      <c r="D97" s="3"/>
      <c r="E97" s="3"/>
      <c r="F97" s="41">
        <v>2014</v>
      </c>
      <c r="G97" s="41">
        <v>2015</v>
      </c>
      <c r="H97" s="41">
        <v>2016</v>
      </c>
      <c r="I97" s="40">
        <v>2017</v>
      </c>
      <c r="J97" s="40">
        <v>2018</v>
      </c>
      <c r="K97" s="40">
        <v>2019</v>
      </c>
      <c r="L97" s="40">
        <v>2020</v>
      </c>
      <c r="M97" s="40">
        <v>2021</v>
      </c>
    </row>
    <row r="98" spans="1:17" ht="5" customHeight="1"/>
    <row r="99" spans="1:17">
      <c r="B99" s="78" t="s">
        <v>106</v>
      </c>
    </row>
    <row r="100" spans="1:17">
      <c r="B100" s="54" t="s">
        <v>107</v>
      </c>
      <c r="F100" s="31">
        <v>3.4430000000000001</v>
      </c>
      <c r="G100" s="31">
        <v>4.3129999999999997</v>
      </c>
      <c r="H100" s="31">
        <v>-4.3579999999999997</v>
      </c>
      <c r="J100" s="31"/>
      <c r="K100" s="31"/>
      <c r="L100" s="31"/>
      <c r="N100" s="20"/>
      <c r="O100" s="20"/>
      <c r="P100" s="20"/>
      <c r="Q100" s="20"/>
    </row>
    <row r="101" spans="1:17">
      <c r="B101" s="54" t="s">
        <v>109</v>
      </c>
      <c r="F101" s="31">
        <v>-2.1779999999999999</v>
      </c>
      <c r="G101" s="31">
        <v>-2.407</v>
      </c>
      <c r="H101" s="31">
        <v>-1.1479999999999999</v>
      </c>
      <c r="J101" s="31"/>
      <c r="K101" s="31"/>
      <c r="L101" s="31"/>
      <c r="M101" s="80"/>
      <c r="N101" s="20"/>
      <c r="O101" s="20"/>
      <c r="P101" s="20"/>
      <c r="Q101" s="20"/>
    </row>
    <row r="102" spans="1:17">
      <c r="B102" s="79" t="s">
        <v>108</v>
      </c>
      <c r="F102" s="31">
        <v>-0.38300000000000001</v>
      </c>
      <c r="G102" s="31">
        <v>0.69099999999999995</v>
      </c>
      <c r="H102" s="31">
        <v>2.677</v>
      </c>
      <c r="J102" s="31"/>
      <c r="K102" s="31"/>
      <c r="L102" s="31"/>
      <c r="N102" s="20"/>
      <c r="O102" s="20"/>
      <c r="P102" s="20"/>
      <c r="Q102" s="20"/>
    </row>
    <row r="103" spans="1:17">
      <c r="B103" s="79"/>
      <c r="F103" s="31"/>
      <c r="G103" s="31"/>
      <c r="H103" s="31"/>
      <c r="J103" s="31"/>
      <c r="K103" s="31"/>
      <c r="L103" s="31"/>
      <c r="N103" s="20"/>
      <c r="O103" s="20"/>
      <c r="P103" s="20"/>
      <c r="Q103" s="20"/>
    </row>
    <row r="104" spans="1:17">
      <c r="B104" s="78" t="s">
        <v>110</v>
      </c>
      <c r="G104" s="80"/>
      <c r="J104" s="12"/>
      <c r="L104" s="80"/>
      <c r="M104" s="12"/>
      <c r="O104" s="80"/>
    </row>
    <row r="105" spans="1:17">
      <c r="B105" s="79" t="s">
        <v>111</v>
      </c>
      <c r="D105" s="13"/>
      <c r="F105" s="20">
        <v>0.191</v>
      </c>
      <c r="G105" s="20">
        <v>0.1</v>
      </c>
      <c r="H105" s="20">
        <v>0.94499999999999995</v>
      </c>
      <c r="J105" s="13"/>
      <c r="L105" s="80"/>
      <c r="M105" s="12"/>
      <c r="O105" s="80"/>
    </row>
    <row r="106" spans="1:17">
      <c r="B106" s="79" t="s">
        <v>112</v>
      </c>
      <c r="D106" s="13"/>
      <c r="F106" s="20">
        <v>5.343</v>
      </c>
      <c r="G106" s="20">
        <v>4.4450000000000003</v>
      </c>
      <c r="H106" s="20">
        <v>4.4619999999999997</v>
      </c>
      <c r="J106" s="13"/>
      <c r="L106" s="80"/>
      <c r="M106" s="12"/>
      <c r="O106" s="80"/>
    </row>
    <row r="107" spans="1:17">
      <c r="B107" s="79" t="s">
        <v>113</v>
      </c>
      <c r="D107" s="13"/>
      <c r="F107" s="20">
        <v>-2.948</v>
      </c>
      <c r="G107" s="20">
        <v>-6.3559999999999999</v>
      </c>
      <c r="H107" s="20">
        <v>20.777000000000001</v>
      </c>
      <c r="J107" s="13"/>
      <c r="K107" s="31"/>
      <c r="L107" s="31"/>
      <c r="M107" s="31"/>
      <c r="O107" s="11"/>
    </row>
    <row r="108" spans="1:17">
      <c r="B108" s="79" t="s">
        <v>114</v>
      </c>
      <c r="D108" s="13"/>
      <c r="F108" s="20">
        <v>13.154999999999999</v>
      </c>
      <c r="G108" s="20">
        <v>10.867000000000001</v>
      </c>
      <c r="H108" s="20">
        <v>7.2560000000000002</v>
      </c>
      <c r="J108" s="13"/>
      <c r="K108" s="31"/>
      <c r="L108" s="31"/>
      <c r="M108" s="31"/>
    </row>
    <row r="109" spans="1:17">
      <c r="B109" s="79"/>
      <c r="D109" s="54"/>
      <c r="J109" s="25"/>
      <c r="K109" s="31"/>
      <c r="L109" s="31"/>
      <c r="M109" s="31"/>
    </row>
    <row r="110" spans="1:17">
      <c r="B110" s="100" t="s">
        <v>104</v>
      </c>
      <c r="C110" s="94"/>
      <c r="D110" s="94"/>
      <c r="E110" s="55"/>
      <c r="F110" s="101">
        <f>SUM(F100:F102)-SUM(F105:F108)</f>
        <v>-14.859</v>
      </c>
      <c r="G110" s="101">
        <f t="shared" ref="G110:H110" si="30">SUM(G100:G102)-SUM(G105:G108)</f>
        <v>-6.4590000000000014</v>
      </c>
      <c r="H110" s="101">
        <f t="shared" si="30"/>
        <v>-36.268999999999998</v>
      </c>
      <c r="I110" s="101">
        <f>I111*I55</f>
        <v>-21.837641369371426</v>
      </c>
      <c r="J110" s="101">
        <f>J111*J55</f>
        <v>-21.819807721798536</v>
      </c>
      <c r="K110" s="101">
        <f>K111*K55</f>
        <v>-25.727205274444756</v>
      </c>
      <c r="L110" s="101">
        <f>L111*L55</f>
        <v>-21.654735653210039</v>
      </c>
      <c r="M110" s="102">
        <f>M111*M55</f>
        <v>-22.012863769016228</v>
      </c>
    </row>
    <row r="111" spans="1:17">
      <c r="B111" s="92" t="s">
        <v>80</v>
      </c>
      <c r="C111" s="103"/>
      <c r="D111" s="103"/>
      <c r="E111" s="104"/>
      <c r="F111" s="59">
        <f>F110/F55</f>
        <v>-9.8000096291904291E-3</v>
      </c>
      <c r="G111" s="59">
        <f>G110/G55</f>
        <v>-3.5631497824818153E-3</v>
      </c>
      <c r="H111" s="59">
        <f>H110/H55</f>
        <v>-1.8255047204213021E-2</v>
      </c>
      <c r="I111" s="105">
        <f>AVERAGE(F111:H111)</f>
        <v>-1.053940220529509E-2</v>
      </c>
      <c r="J111" s="105">
        <f t="shared" ref="J111:M111" si="31">AVERAGE(G111:I111)</f>
        <v>-1.0785866397329974E-2</v>
      </c>
      <c r="K111" s="105">
        <f t="shared" si="31"/>
        <v>-1.3193438602279362E-2</v>
      </c>
      <c r="L111" s="105">
        <f t="shared" si="31"/>
        <v>-1.150623573496814E-2</v>
      </c>
      <c r="M111" s="106">
        <f t="shared" si="31"/>
        <v>-1.1828513578192493E-2</v>
      </c>
    </row>
    <row r="112" spans="1:17">
      <c r="D112" s="54"/>
      <c r="J112" s="24"/>
      <c r="K112" s="20"/>
      <c r="L112" s="20"/>
      <c r="M112" s="20"/>
    </row>
    <row r="113" spans="2:13">
      <c r="B113" s="113" t="s">
        <v>94</v>
      </c>
      <c r="C113" s="94"/>
      <c r="D113" s="94"/>
      <c r="E113" s="55"/>
      <c r="F113" s="55"/>
      <c r="G113" s="55"/>
      <c r="H113" s="55"/>
      <c r="I113" s="62">
        <f>CHOOSE(Case,I116,I119)</f>
        <v>126.03233333333333</v>
      </c>
      <c r="J113" s="62">
        <f>CHOOSE(Case,J116,J119)</f>
        <v>135.22511111111109</v>
      </c>
      <c r="K113" s="62">
        <f>CHOOSE(Case,K116,K119)</f>
        <v>137.79914814814813</v>
      </c>
      <c r="L113" s="62">
        <f>CHOOSE(Case,L116,L119)</f>
        <v>133.01886419753086</v>
      </c>
      <c r="M113" s="63">
        <f>CHOOSE(Case,M116,M119)</f>
        <v>135.34770781893005</v>
      </c>
    </row>
    <row r="114" spans="2:13">
      <c r="B114" s="92" t="s">
        <v>80</v>
      </c>
      <c r="C114" s="95"/>
      <c r="D114" s="95"/>
      <c r="E114" s="58"/>
      <c r="F114" s="58"/>
      <c r="G114" s="58"/>
      <c r="H114" s="58"/>
      <c r="I114" s="59">
        <f>I113/I55</f>
        <v>6.0826415701415698E-2</v>
      </c>
      <c r="J114" s="59">
        <f>J113/J55</f>
        <v>6.6843851265996582E-2</v>
      </c>
      <c r="K114" s="59">
        <f>K113/K55</f>
        <v>7.0666229819563151E-2</v>
      </c>
      <c r="L114" s="59">
        <f>L113/L55</f>
        <v>7.0679524015691206E-2</v>
      </c>
      <c r="M114" s="60">
        <f>M113/M55</f>
        <v>7.2728483513664718E-2</v>
      </c>
    </row>
    <row r="115" spans="2:13">
      <c r="D115" s="54"/>
      <c r="J115" s="24"/>
      <c r="K115" s="20"/>
      <c r="L115" s="20"/>
      <c r="M115" s="20"/>
    </row>
    <row r="116" spans="2:13">
      <c r="B116" s="54" t="s">
        <v>141</v>
      </c>
      <c r="F116" s="31">
        <v>98.453999999999994</v>
      </c>
      <c r="G116" s="31">
        <v>127.503</v>
      </c>
      <c r="H116" s="31">
        <v>152.13999999999999</v>
      </c>
      <c r="I116" s="31">
        <f>AVERAGE(F116:H116)</f>
        <v>126.03233333333333</v>
      </c>
      <c r="J116" s="31">
        <f t="shared" ref="J116:M116" si="32">AVERAGE(G116:I116)</f>
        <v>135.22511111111109</v>
      </c>
      <c r="K116" s="31">
        <f t="shared" si="32"/>
        <v>137.79914814814813</v>
      </c>
      <c r="L116" s="31">
        <f t="shared" si="32"/>
        <v>133.01886419753086</v>
      </c>
      <c r="M116" s="31">
        <f t="shared" si="32"/>
        <v>135.34770781893005</v>
      </c>
    </row>
    <row r="117" spans="2:13">
      <c r="B117" s="89" t="s">
        <v>80</v>
      </c>
      <c r="F117" s="8">
        <f>F116/F55</f>
        <v>6.4933720171768933E-2</v>
      </c>
      <c r="G117" s="8">
        <f>G116/G55</f>
        <v>7.0337867582563676E-2</v>
      </c>
      <c r="H117" s="8">
        <f>H116/H55</f>
        <v>7.6575667419806689E-2</v>
      </c>
      <c r="I117" s="8">
        <f>I116/I55</f>
        <v>6.0826415701415698E-2</v>
      </c>
      <c r="J117" s="8">
        <f>J116/J55</f>
        <v>6.6843851265996582E-2</v>
      </c>
      <c r="K117" s="8">
        <f>K116/K55</f>
        <v>7.0666229819563151E-2</v>
      </c>
      <c r="L117" s="8">
        <f>L116/L55</f>
        <v>7.0679524015691206E-2</v>
      </c>
      <c r="M117" s="8">
        <f>M116/M55</f>
        <v>7.2728483513664718E-2</v>
      </c>
    </row>
    <row r="118" spans="2:13">
      <c r="B118" s="89"/>
      <c r="F118" s="8"/>
      <c r="G118" s="8"/>
      <c r="H118" s="8"/>
      <c r="I118" s="8"/>
      <c r="J118" s="8"/>
      <c r="K118" s="8"/>
      <c r="L118" s="8"/>
      <c r="M118" s="8"/>
    </row>
    <row r="119" spans="2:13">
      <c r="B119" s="54" t="s">
        <v>98</v>
      </c>
      <c r="F119" s="8"/>
      <c r="G119" s="8"/>
      <c r="H119" s="8"/>
      <c r="I119" s="31">
        <v>152</v>
      </c>
      <c r="J119" s="31">
        <v>143</v>
      </c>
      <c r="K119" s="31">
        <v>127</v>
      </c>
      <c r="L119" s="31">
        <v>112</v>
      </c>
      <c r="M119" s="31">
        <v>99</v>
      </c>
    </row>
    <row r="120" spans="2:13">
      <c r="B120" s="89" t="s">
        <v>80</v>
      </c>
      <c r="F120" s="8"/>
      <c r="G120" s="8"/>
      <c r="H120" s="8"/>
      <c r="I120" s="8">
        <f>I119/I55</f>
        <v>7.3359073359073365E-2</v>
      </c>
      <c r="J120" s="8">
        <f>J119/J55</f>
        <v>7.0687098368759263E-2</v>
      </c>
      <c r="K120" s="8">
        <f>K119/K55</f>
        <v>6.5128205128205122E-2</v>
      </c>
      <c r="L120" s="8">
        <f>L119/L55</f>
        <v>5.951115834218916E-2</v>
      </c>
      <c r="M120" s="8">
        <f>M119/M55</f>
        <v>5.3197205803331545E-2</v>
      </c>
    </row>
    <row r="122" spans="2:13">
      <c r="B122" s="113" t="s">
        <v>105</v>
      </c>
      <c r="C122" s="94"/>
      <c r="D122" s="55"/>
      <c r="E122" s="55"/>
      <c r="F122" s="110"/>
      <c r="G122" s="110"/>
      <c r="H122" s="110"/>
      <c r="I122" s="62">
        <f>CHOOSE(Case,I125,I128)</f>
        <v>177.61953890972092</v>
      </c>
      <c r="J122" s="62">
        <f>CHOOSE(Case,J125,J128)</f>
        <v>170.08805296226652</v>
      </c>
      <c r="K122" s="62">
        <f>CHOOSE(Case,K125,K128)</f>
        <v>156.72885784196791</v>
      </c>
      <c r="L122" s="62">
        <f>CHOOSE(Case,L125,L128)</f>
        <v>156.94288349978595</v>
      </c>
      <c r="M122" s="63">
        <f>CHOOSE(Case,M125,M128)</f>
        <v>153.7449365023468</v>
      </c>
    </row>
    <row r="123" spans="2:13">
      <c r="B123" s="92" t="s">
        <v>80</v>
      </c>
      <c r="C123" s="95"/>
      <c r="D123" s="58"/>
      <c r="E123" s="58"/>
      <c r="F123" s="112"/>
      <c r="G123" s="112"/>
      <c r="H123" s="112"/>
      <c r="I123" s="105">
        <f>AVERAGE(F126:H126)</f>
        <v>8.5723715690019742E-2</v>
      </c>
      <c r="J123" s="105">
        <f t="shared" ref="J123:M123" si="33">AVERAGE(G123:I123)</f>
        <v>8.5723715690019742E-2</v>
      </c>
      <c r="K123" s="105">
        <f t="shared" si="33"/>
        <v>8.5723715690019742E-2</v>
      </c>
      <c r="L123" s="105">
        <f t="shared" si="33"/>
        <v>8.5723715690019742E-2</v>
      </c>
      <c r="M123" s="106">
        <f t="shared" si="33"/>
        <v>8.5723715690019742E-2</v>
      </c>
    </row>
    <row r="124" spans="2:13">
      <c r="B124" s="153"/>
      <c r="C124" s="154"/>
      <c r="D124" s="155"/>
      <c r="E124" s="155"/>
      <c r="F124" s="156"/>
      <c r="G124" s="156"/>
      <c r="H124" s="156"/>
      <c r="I124" s="157"/>
      <c r="J124" s="157"/>
      <c r="K124" s="157"/>
      <c r="L124" s="157"/>
      <c r="M124" s="157"/>
    </row>
    <row r="125" spans="2:13">
      <c r="B125" s="154" t="s">
        <v>105</v>
      </c>
      <c r="C125" s="154"/>
      <c r="D125" s="155"/>
      <c r="E125" s="155"/>
      <c r="F125" s="158">
        <v>137.46600000000001</v>
      </c>
      <c r="G125" s="158">
        <v>172.548</v>
      </c>
      <c r="H125" s="158">
        <v>141.69900000000001</v>
      </c>
      <c r="I125" s="158">
        <f>I126*I55</f>
        <v>177.61953890972092</v>
      </c>
      <c r="J125" s="158">
        <f t="shared" ref="J125:M125" si="34">J126*J55</f>
        <v>170.08805296226652</v>
      </c>
      <c r="K125" s="158">
        <f t="shared" si="34"/>
        <v>156.72885784196791</v>
      </c>
      <c r="L125" s="158">
        <f t="shared" si="34"/>
        <v>156.94288349978595</v>
      </c>
      <c r="M125" s="158">
        <f t="shared" si="34"/>
        <v>153.7449365023468</v>
      </c>
    </row>
    <row r="126" spans="2:13">
      <c r="B126" s="153" t="s">
        <v>80</v>
      </c>
      <c r="C126" s="154"/>
      <c r="D126" s="155"/>
      <c r="E126" s="155"/>
      <c r="F126" s="156">
        <f>F125/F55</f>
        <v>9.0663444625229933E-2</v>
      </c>
      <c r="G126" s="156">
        <f>G125/G55</f>
        <v>9.5187237756258272E-2</v>
      </c>
      <c r="H126" s="156">
        <f>H125/H55</f>
        <v>7.1320464688570992E-2</v>
      </c>
      <c r="I126" s="157">
        <f>AVERAGE(F126:H126)</f>
        <v>8.5723715690019742E-2</v>
      </c>
      <c r="J126" s="157">
        <f t="shared" ref="J126:M126" si="35">AVERAGE(G126:I126)</f>
        <v>8.4077139378282997E-2</v>
      </c>
      <c r="K126" s="157">
        <f t="shared" si="35"/>
        <v>8.0373773252291239E-2</v>
      </c>
      <c r="L126" s="157">
        <f t="shared" si="35"/>
        <v>8.3391542773531321E-2</v>
      </c>
      <c r="M126" s="157">
        <f t="shared" si="35"/>
        <v>8.261415180136851E-2</v>
      </c>
    </row>
    <row r="127" spans="2:13">
      <c r="B127" s="153"/>
      <c r="C127" s="154"/>
      <c r="D127" s="155"/>
      <c r="E127" s="155"/>
      <c r="F127" s="156"/>
      <c r="G127" s="156"/>
      <c r="H127" s="156"/>
      <c r="I127" s="157"/>
      <c r="J127" s="157"/>
      <c r="K127" s="157"/>
      <c r="L127" s="157"/>
      <c r="M127" s="157"/>
    </row>
    <row r="128" spans="2:13">
      <c r="B128" s="154" t="s">
        <v>142</v>
      </c>
      <c r="C128" s="154"/>
      <c r="D128" s="155"/>
      <c r="E128" s="155"/>
      <c r="F128" s="156"/>
      <c r="G128" s="156"/>
      <c r="H128" s="156"/>
      <c r="I128" s="158">
        <v>80</v>
      </c>
      <c r="J128" s="158">
        <v>94</v>
      </c>
      <c r="K128" s="158">
        <v>117</v>
      </c>
      <c r="L128" s="158">
        <v>117</v>
      </c>
      <c r="M128" s="158">
        <v>114</v>
      </c>
    </row>
    <row r="129" spans="1:13">
      <c r="B129" s="153" t="s">
        <v>80</v>
      </c>
      <c r="C129" s="154"/>
      <c r="D129" s="155"/>
      <c r="E129" s="155"/>
      <c r="F129" s="156"/>
      <c r="G129" s="156"/>
      <c r="H129" s="156"/>
      <c r="I129" s="157">
        <f>I128/I55</f>
        <v>3.8610038610038609E-2</v>
      </c>
      <c r="J129" s="157">
        <f t="shared" ref="J129:M129" si="36">J128/J55</f>
        <v>4.6465645081562035E-2</v>
      </c>
      <c r="K129" s="157">
        <f t="shared" si="36"/>
        <v>0.06</v>
      </c>
      <c r="L129" s="157">
        <f t="shared" si="36"/>
        <v>6.2167906482465465E-2</v>
      </c>
      <c r="M129" s="157">
        <f t="shared" si="36"/>
        <v>6.1257388500806018E-2</v>
      </c>
    </row>
    <row r="131" spans="1:13">
      <c r="A131" t="s">
        <v>3</v>
      </c>
      <c r="B131" s="83" t="s">
        <v>115</v>
      </c>
      <c r="C131" s="83"/>
      <c r="D131" s="3"/>
      <c r="E131" s="3"/>
      <c r="F131" s="41">
        <v>2014</v>
      </c>
      <c r="G131" s="41">
        <v>2015</v>
      </c>
      <c r="H131" s="41">
        <v>2016</v>
      </c>
      <c r="I131" s="40">
        <v>2017</v>
      </c>
      <c r="J131" s="40">
        <v>2018</v>
      </c>
      <c r="K131" s="40">
        <v>2019</v>
      </c>
      <c r="L131" s="40">
        <v>2020</v>
      </c>
      <c r="M131" s="40">
        <v>2021</v>
      </c>
    </row>
    <row r="132" spans="1:13" ht="5" customHeight="1"/>
    <row r="133" spans="1:13">
      <c r="B133" s="54" t="s">
        <v>116</v>
      </c>
      <c r="I133" s="22">
        <f ca="1">I94</f>
        <v>38.199816699439346</v>
      </c>
      <c r="J133" s="22">
        <f ca="1">J94</f>
        <v>55.542372692376574</v>
      </c>
      <c r="K133" s="22">
        <f ca="1">K94</f>
        <v>75.172110046507314</v>
      </c>
      <c r="L133" s="22">
        <f ca="1">L94</f>
        <v>101.26237591308285</v>
      </c>
      <c r="M133" s="22">
        <f ca="1">M94</f>
        <v>128.4790746729764</v>
      </c>
    </row>
    <row r="134" spans="1:13">
      <c r="B134" s="107" t="s">
        <v>117</v>
      </c>
      <c r="I134" s="31">
        <f>I113</f>
        <v>126.03233333333333</v>
      </c>
      <c r="J134" s="31">
        <f t="shared" ref="J134:M134" si="37">J113</f>
        <v>135.22511111111109</v>
      </c>
      <c r="K134" s="31">
        <f t="shared" si="37"/>
        <v>137.79914814814813</v>
      </c>
      <c r="L134" s="31">
        <f t="shared" si="37"/>
        <v>133.01886419753086</v>
      </c>
      <c r="M134" s="31">
        <f t="shared" si="37"/>
        <v>135.34770781893005</v>
      </c>
    </row>
    <row r="135" spans="1:13">
      <c r="B135" s="107" t="s">
        <v>105</v>
      </c>
      <c r="I135" s="22">
        <f>I122</f>
        <v>177.61953890972092</v>
      </c>
      <c r="J135" s="22">
        <f t="shared" ref="J135:M135" si="38">J122</f>
        <v>170.08805296226652</v>
      </c>
      <c r="K135" s="22">
        <f t="shared" si="38"/>
        <v>156.72885784196791</v>
      </c>
      <c r="L135" s="22">
        <f t="shared" si="38"/>
        <v>156.94288349978595</v>
      </c>
      <c r="M135" s="22">
        <f t="shared" si="38"/>
        <v>153.7449365023468</v>
      </c>
    </row>
    <row r="136" spans="1:13">
      <c r="B136" s="107" t="s">
        <v>118</v>
      </c>
      <c r="I136" s="22">
        <f>I110</f>
        <v>-21.837641369371426</v>
      </c>
      <c r="J136" s="22">
        <f>J110</f>
        <v>-21.819807721798536</v>
      </c>
      <c r="K136" s="22">
        <f>K110</f>
        <v>-25.727205274444756</v>
      </c>
      <c r="L136" s="22">
        <f>L110</f>
        <v>-21.654735653210039</v>
      </c>
      <c r="M136" s="22">
        <f>M110</f>
        <v>-22.012863769016228</v>
      </c>
    </row>
    <row r="137" spans="1:13">
      <c r="B137" s="107" t="s">
        <v>140</v>
      </c>
      <c r="I137" s="22">
        <v>0</v>
      </c>
      <c r="J137" s="22">
        <v>19</v>
      </c>
      <c r="K137" s="22">
        <v>78</v>
      </c>
      <c r="L137" s="22">
        <v>95</v>
      </c>
      <c r="M137" s="22">
        <v>42</v>
      </c>
    </row>
    <row r="138" spans="1:13">
      <c r="B138" s="107" t="s">
        <v>119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B139" s="84" t="s">
        <v>115</v>
      </c>
      <c r="C139" s="93"/>
      <c r="D139" s="66"/>
      <c r="E139" s="66"/>
      <c r="F139" s="66"/>
      <c r="G139" s="66"/>
      <c r="H139" s="66"/>
      <c r="I139" s="67">
        <f ca="1">I133+I134-I135+I136+I137-I138</f>
        <v>-35.225030246319676</v>
      </c>
      <c r="J139" s="67">
        <f t="shared" ref="J139:M139" ca="1" si="39">J133+J134-J135+J136+J137-J138</f>
        <v>17.859623119422611</v>
      </c>
      <c r="K139" s="67">
        <f t="shared" ca="1" si="39"/>
        <v>108.51519507824277</v>
      </c>
      <c r="L139" s="67">
        <f t="shared" ca="1" si="39"/>
        <v>150.68362095761773</v>
      </c>
      <c r="M139" s="67">
        <f t="shared" ca="1" si="39"/>
        <v>130.0689822205434</v>
      </c>
    </row>
    <row r="141" spans="1:13">
      <c r="A141" t="s">
        <v>3</v>
      </c>
      <c r="B141" s="82" t="s">
        <v>120</v>
      </c>
      <c r="C141" s="82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5" customHeight="1">
      <c r="B142" s="85"/>
      <c r="C142" s="85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 spans="1:13">
      <c r="B143" s="83" t="s">
        <v>121</v>
      </c>
      <c r="C143" s="83"/>
      <c r="D143" s="3"/>
      <c r="E143" s="3"/>
      <c r="F143" s="41">
        <v>2014</v>
      </c>
      <c r="G143" s="41">
        <v>2015</v>
      </c>
      <c r="H143" s="41">
        <v>2016</v>
      </c>
      <c r="I143" s="40">
        <v>2017</v>
      </c>
      <c r="J143" s="40">
        <v>2018</v>
      </c>
      <c r="K143" s="40">
        <v>2019</v>
      </c>
      <c r="L143" s="40">
        <v>2020</v>
      </c>
      <c r="M143" s="40">
        <v>2021</v>
      </c>
    </row>
    <row r="144" spans="1:13">
      <c r="B144" s="117" t="s">
        <v>18</v>
      </c>
    </row>
    <row r="145" spans="2:13">
      <c r="B145" s="39" t="s">
        <v>122</v>
      </c>
      <c r="I145" s="22">
        <f>H147</f>
        <v>18.565999999999999</v>
      </c>
      <c r="J145" s="22">
        <f t="shared" ref="J145:M145" si="40">I147</f>
        <v>18.565999999999999</v>
      </c>
      <c r="K145" s="22">
        <f t="shared" si="40"/>
        <v>18.565999999999999</v>
      </c>
      <c r="L145" s="22">
        <f t="shared" si="40"/>
        <v>18.565999999999999</v>
      </c>
      <c r="M145" s="22">
        <f t="shared" si="40"/>
        <v>18.565999999999999</v>
      </c>
    </row>
    <row r="146" spans="2:13">
      <c r="B146" s="39" t="s">
        <v>123</v>
      </c>
      <c r="I146" s="81">
        <v>0</v>
      </c>
      <c r="J146" s="81">
        <v>0</v>
      </c>
      <c r="K146" s="81">
        <v>0</v>
      </c>
      <c r="L146" s="81">
        <v>0</v>
      </c>
      <c r="M146" s="81">
        <v>0</v>
      </c>
    </row>
    <row r="147" spans="2:13">
      <c r="B147" s="118" t="s">
        <v>124</v>
      </c>
      <c r="C147" s="119"/>
      <c r="D147" s="120"/>
      <c r="E147" s="120"/>
      <c r="F147" s="120"/>
      <c r="G147" s="120"/>
      <c r="H147" s="121">
        <f>F20</f>
        <v>18.565999999999999</v>
      </c>
      <c r="I147" s="121">
        <f>I145</f>
        <v>18.565999999999999</v>
      </c>
      <c r="J147" s="121">
        <f t="shared" ref="J147:M147" si="41">J145</f>
        <v>18.565999999999999</v>
      </c>
      <c r="K147" s="121">
        <f t="shared" si="41"/>
        <v>18.565999999999999</v>
      </c>
      <c r="L147" s="121">
        <f t="shared" si="41"/>
        <v>18.565999999999999</v>
      </c>
      <c r="M147" s="121">
        <f t="shared" si="41"/>
        <v>18.565999999999999</v>
      </c>
    </row>
    <row r="149" spans="2:13">
      <c r="B149" s="117" t="s">
        <v>27</v>
      </c>
    </row>
    <row r="150" spans="2:13">
      <c r="B150" s="39" t="s">
        <v>122</v>
      </c>
      <c r="I150" s="22">
        <f>H152</f>
        <v>1575</v>
      </c>
      <c r="J150" s="22">
        <f t="shared" ref="J150:M150" ca="1" si="42">I152</f>
        <v>1575</v>
      </c>
      <c r="K150" s="22">
        <f t="shared" ca="1" si="42"/>
        <v>1557.1403768805774</v>
      </c>
      <c r="L150" s="22">
        <f t="shared" ca="1" si="42"/>
        <v>1448.6251818023345</v>
      </c>
      <c r="M150" s="22">
        <f t="shared" ca="1" si="42"/>
        <v>1297.9415608447168</v>
      </c>
    </row>
    <row r="151" spans="2:13">
      <c r="B151" s="39" t="s">
        <v>123</v>
      </c>
      <c r="I151" s="22">
        <f ca="1">IF(I139&lt;0,0,MIN(I139,I150))</f>
        <v>0</v>
      </c>
      <c r="J151" s="22">
        <f t="shared" ref="J151:M151" ca="1" si="43">MIN(J139,J150)</f>
        <v>17.859623119422611</v>
      </c>
      <c r="K151" s="22">
        <f t="shared" ca="1" si="43"/>
        <v>108.51519507824277</v>
      </c>
      <c r="L151" s="22">
        <f t="shared" ca="1" si="43"/>
        <v>150.68362095761773</v>
      </c>
      <c r="M151" s="22">
        <f t="shared" ca="1" si="43"/>
        <v>130.0689822205434</v>
      </c>
    </row>
    <row r="152" spans="2:13">
      <c r="B152" s="118" t="s">
        <v>124</v>
      </c>
      <c r="C152" s="119"/>
      <c r="D152" s="120"/>
      <c r="E152" s="120"/>
      <c r="F152" s="120"/>
      <c r="G152" s="120"/>
      <c r="H152" s="121">
        <f>D36</f>
        <v>1575</v>
      </c>
      <c r="I152" s="121">
        <f ca="1">I150-I151</f>
        <v>1575</v>
      </c>
      <c r="J152" s="121">
        <f t="shared" ref="J152:M152" ca="1" si="44">J150-J151</f>
        <v>1557.1403768805774</v>
      </c>
      <c r="K152" s="121">
        <f t="shared" ca="1" si="44"/>
        <v>1448.6251818023345</v>
      </c>
      <c r="L152" s="121">
        <f t="shared" ca="1" si="44"/>
        <v>1297.9415608447168</v>
      </c>
      <c r="M152" s="121">
        <f t="shared" ca="1" si="44"/>
        <v>1167.8725786241735</v>
      </c>
    </row>
    <row r="154" spans="2:13">
      <c r="B154" s="117" t="s">
        <v>28</v>
      </c>
    </row>
    <row r="155" spans="2:13">
      <c r="B155" s="39" t="s">
        <v>122</v>
      </c>
      <c r="I155" s="22">
        <f>H157</f>
        <v>485</v>
      </c>
      <c r="J155" s="22">
        <f t="shared" ref="J155:M155" ca="1" si="45">I157</f>
        <v>485</v>
      </c>
      <c r="K155" s="22">
        <f t="shared" ca="1" si="45"/>
        <v>485</v>
      </c>
      <c r="L155" s="22">
        <f t="shared" ca="1" si="45"/>
        <v>485</v>
      </c>
      <c r="M155" s="22">
        <f t="shared" ca="1" si="45"/>
        <v>485</v>
      </c>
    </row>
    <row r="156" spans="2:13">
      <c r="B156" s="39" t="s">
        <v>123</v>
      </c>
      <c r="I156" s="22">
        <f ca="1">IF(I139&lt;0,0,MIN(I155,I139-I151))</f>
        <v>0</v>
      </c>
      <c r="J156" s="22">
        <f t="shared" ref="J156:M156" ca="1" si="46">MIN(J155,J139-J151)</f>
        <v>0</v>
      </c>
      <c r="K156" s="22">
        <f t="shared" ca="1" si="46"/>
        <v>0</v>
      </c>
      <c r="L156" s="22">
        <f t="shared" ca="1" si="46"/>
        <v>0</v>
      </c>
      <c r="M156" s="22">
        <f t="shared" ca="1" si="46"/>
        <v>0</v>
      </c>
    </row>
    <row r="157" spans="2:13">
      <c r="B157" s="118" t="s">
        <v>124</v>
      </c>
      <c r="C157" s="119"/>
      <c r="D157" s="120"/>
      <c r="E157" s="120"/>
      <c r="F157" s="120"/>
      <c r="G157" s="120"/>
      <c r="H157" s="121">
        <f>D37</f>
        <v>485</v>
      </c>
      <c r="I157" s="121">
        <f ca="1">I155-I156</f>
        <v>485</v>
      </c>
      <c r="J157" s="121">
        <f t="shared" ref="J157:M157" ca="1" si="47">J155-J156</f>
        <v>485</v>
      </c>
      <c r="K157" s="121">
        <f t="shared" ca="1" si="47"/>
        <v>485</v>
      </c>
      <c r="L157" s="121">
        <f t="shared" ca="1" si="47"/>
        <v>485</v>
      </c>
      <c r="M157" s="121">
        <f t="shared" ca="1" si="47"/>
        <v>485</v>
      </c>
    </row>
    <row r="159" spans="2:13">
      <c r="B159" s="122" t="s">
        <v>125</v>
      </c>
      <c r="C159" s="109"/>
      <c r="D159" s="110"/>
      <c r="E159" s="110"/>
      <c r="F159" s="110"/>
      <c r="G159" s="110"/>
      <c r="H159" s="110"/>
      <c r="I159" s="110"/>
      <c r="J159" s="110"/>
      <c r="K159" s="110"/>
      <c r="L159" s="110"/>
      <c r="M159" s="123"/>
    </row>
    <row r="160" spans="2:13">
      <c r="B160" s="124" t="s">
        <v>122</v>
      </c>
      <c r="C160" s="108"/>
      <c r="D160" s="125"/>
      <c r="E160" s="125"/>
      <c r="F160" s="125"/>
      <c r="G160" s="125"/>
      <c r="H160" s="125"/>
      <c r="I160" s="126">
        <f>H162</f>
        <v>2060</v>
      </c>
      <c r="J160" s="126">
        <f t="shared" ref="J160:M160" ca="1" si="48">I162</f>
        <v>2060</v>
      </c>
      <c r="K160" s="126">
        <f t="shared" ca="1" si="48"/>
        <v>2042.1403768805774</v>
      </c>
      <c r="L160" s="126">
        <f t="shared" ca="1" si="48"/>
        <v>1933.6251818023345</v>
      </c>
      <c r="M160" s="127">
        <f t="shared" ca="1" si="48"/>
        <v>1782.9415608447168</v>
      </c>
    </row>
    <row r="161" spans="1:13">
      <c r="B161" s="124" t="s">
        <v>123</v>
      </c>
      <c r="C161" s="108"/>
      <c r="D161" s="125"/>
      <c r="E161" s="125"/>
      <c r="F161" s="125"/>
      <c r="G161" s="125"/>
      <c r="H161" s="125"/>
      <c r="I161" s="126">
        <f ca="1">I146+I151+I156</f>
        <v>0</v>
      </c>
      <c r="J161" s="126">
        <f t="shared" ref="J161:M161" ca="1" si="49">J146+J151+J156</f>
        <v>17.859623119422611</v>
      </c>
      <c r="K161" s="126">
        <f t="shared" ca="1" si="49"/>
        <v>108.51519507824277</v>
      </c>
      <c r="L161" s="126">
        <f t="shared" ca="1" si="49"/>
        <v>150.68362095761773</v>
      </c>
      <c r="M161" s="127">
        <f t="shared" ca="1" si="49"/>
        <v>130.0689822205434</v>
      </c>
    </row>
    <row r="162" spans="1:13">
      <c r="B162" s="128" t="s">
        <v>124</v>
      </c>
      <c r="C162" s="111"/>
      <c r="D162" s="112"/>
      <c r="E162" s="112"/>
      <c r="F162" s="112"/>
      <c r="G162" s="112"/>
      <c r="H162" s="129">
        <f>H152+H157</f>
        <v>2060</v>
      </c>
      <c r="I162" s="130">
        <f ca="1">I152+I157</f>
        <v>2060</v>
      </c>
      <c r="J162" s="130">
        <f t="shared" ref="J162:M162" ca="1" si="50">J152+J157</f>
        <v>2042.1403768805774</v>
      </c>
      <c r="K162" s="130">
        <f t="shared" ca="1" si="50"/>
        <v>1933.6251818023345</v>
      </c>
      <c r="L162" s="130">
        <f t="shared" ca="1" si="50"/>
        <v>1782.9415608447168</v>
      </c>
      <c r="M162" s="130">
        <f t="shared" ca="1" si="50"/>
        <v>1652.8725786241735</v>
      </c>
    </row>
    <row r="163" spans="1:13">
      <c r="B163" s="131" t="s">
        <v>126</v>
      </c>
      <c r="C163" s="131"/>
      <c r="D163" s="132"/>
      <c r="E163" s="132"/>
      <c r="F163" s="132"/>
      <c r="G163" s="132"/>
      <c r="H163" s="132"/>
      <c r="I163" s="133" t="b">
        <f ca="1">I160-I161=I162</f>
        <v>1</v>
      </c>
      <c r="J163" s="133" t="b">
        <f t="shared" ref="J163:M163" ca="1" si="51">J160-J161=J162</f>
        <v>1</v>
      </c>
      <c r="K163" s="133" t="b">
        <f t="shared" ca="1" si="51"/>
        <v>1</v>
      </c>
      <c r="L163" s="133" t="b">
        <f t="shared" ca="1" si="51"/>
        <v>1</v>
      </c>
      <c r="M163" s="133" t="b">
        <f t="shared" ca="1" si="51"/>
        <v>1</v>
      </c>
    </row>
    <row r="165" spans="1:13">
      <c r="A165" t="s">
        <v>3</v>
      </c>
      <c r="B165" s="83" t="s">
        <v>127</v>
      </c>
      <c r="C165" s="83"/>
      <c r="D165" s="3"/>
      <c r="E165" s="3"/>
      <c r="F165" s="41">
        <v>2014</v>
      </c>
      <c r="G165" s="41">
        <v>2015</v>
      </c>
      <c r="H165" s="41">
        <v>2016</v>
      </c>
      <c r="I165" s="40">
        <v>2017</v>
      </c>
      <c r="J165" s="40">
        <v>2018</v>
      </c>
      <c r="K165" s="40">
        <v>2019</v>
      </c>
      <c r="L165" s="40">
        <v>2020</v>
      </c>
      <c r="M165" s="40">
        <v>2021</v>
      </c>
    </row>
    <row r="166" spans="1:13" ht="5" customHeight="1"/>
    <row r="167" spans="1:13">
      <c r="B167" s="54" t="s">
        <v>18</v>
      </c>
      <c r="H167" s="22">
        <f>H86</f>
        <v>-1.464</v>
      </c>
      <c r="I167" s="25">
        <f>IF(CIRC="OFF",AVERAGE(I145,I147)*I168,0)</f>
        <v>-1.4639999999999997</v>
      </c>
      <c r="J167" s="25">
        <f>IF(CIRC="OFF",AVERAGE(J145,J147)*J168,0)</f>
        <v>-1.4639999999999997</v>
      </c>
      <c r="K167" s="25">
        <f>IF(CIRC="OFF",AVERAGE(K145,K147)*K168,0)</f>
        <v>-1.4639999999999997</v>
      </c>
      <c r="L167" s="25">
        <f>IF(CIRC="OFF",AVERAGE(L145,L147)*L168,0)</f>
        <v>-1.4639999999999997</v>
      </c>
      <c r="M167" s="25">
        <f>IF(CIRC="OFF",AVERAGE(M145,M147)*M168,0)</f>
        <v>-1.4639999999999997</v>
      </c>
    </row>
    <row r="168" spans="1:13">
      <c r="B168" s="134" t="s">
        <v>128</v>
      </c>
      <c r="H168" s="135">
        <f>H167/H147</f>
        <v>-7.885381880857481E-2</v>
      </c>
      <c r="I168" s="136">
        <f>H168</f>
        <v>-7.885381880857481E-2</v>
      </c>
      <c r="J168" s="136">
        <f t="shared" ref="J168:M168" si="52">I168</f>
        <v>-7.885381880857481E-2</v>
      </c>
      <c r="K168" s="136">
        <f t="shared" si="52"/>
        <v>-7.885381880857481E-2</v>
      </c>
      <c r="L168" s="136">
        <f t="shared" si="52"/>
        <v>-7.885381880857481E-2</v>
      </c>
      <c r="M168" s="136">
        <f t="shared" si="52"/>
        <v>-7.885381880857481E-2</v>
      </c>
    </row>
    <row r="169" spans="1:13">
      <c r="I169" s="25"/>
    </row>
    <row r="170" spans="1:13">
      <c r="B170" s="54" t="str">
        <f>B36</f>
        <v>Term Loan</v>
      </c>
      <c r="I170" s="20">
        <f ca="1">IF(CIRC="OFF",I171*AVERAGE(I150,I152),0)</f>
        <v>83.474999999999994</v>
      </c>
      <c r="J170" s="20">
        <f ca="1">IF(CIRC="OFF",J171*AVERAGE(J150,J152),0)</f>
        <v>83.001719987335306</v>
      </c>
      <c r="K170" s="20">
        <f ca="1">IF(CIRC="OFF",K171*AVERAGE(K150,K152),0)</f>
        <v>79.652787305097164</v>
      </c>
      <c r="L170" s="20">
        <f ca="1">IF(CIRC="OFF",L171*AVERAGE(L150,L152),0)</f>
        <v>72.784018680146858</v>
      </c>
      <c r="M170" s="20">
        <f ca="1">IF(CIRC="OFF",M171*AVERAGE(M150,M152),0)</f>
        <v>65.344074695925585</v>
      </c>
    </row>
    <row r="171" spans="1:13">
      <c r="B171" s="134" t="s">
        <v>129</v>
      </c>
      <c r="H171" s="21"/>
      <c r="I171" s="137">
        <f t="shared" ref="I171:M171" si="53">$I$26</f>
        <v>5.2999999999999999E-2</v>
      </c>
      <c r="J171" s="137">
        <f t="shared" si="53"/>
        <v>5.2999999999999999E-2</v>
      </c>
      <c r="K171" s="137">
        <f t="shared" si="53"/>
        <v>5.2999999999999999E-2</v>
      </c>
      <c r="L171" s="137">
        <f t="shared" si="53"/>
        <v>5.2999999999999999E-2</v>
      </c>
      <c r="M171" s="137">
        <f t="shared" si="53"/>
        <v>5.2999999999999999E-2</v>
      </c>
    </row>
    <row r="173" spans="1:13">
      <c r="B173" s="54" t="str">
        <f>B37</f>
        <v>Senior Notes</v>
      </c>
      <c r="I173" s="20">
        <f ca="1">IF(CIRC="OFF",I174*AVERAGE(I155,I157),0)</f>
        <v>35.405000000000001</v>
      </c>
      <c r="J173" s="20">
        <f ca="1">IF(CIRC="OFF",J174*AVERAGE(J155,J157),0)</f>
        <v>35.405000000000001</v>
      </c>
      <c r="K173" s="20">
        <f ca="1">IF(CIRC="OFF",K174*AVERAGE(K155,K157),0)</f>
        <v>35.405000000000001</v>
      </c>
      <c r="L173" s="20">
        <f ca="1">IF(CIRC="OFF",L174*AVERAGE(L155,L157),0)</f>
        <v>35.405000000000001</v>
      </c>
      <c r="M173" s="20">
        <f ca="1">IF(CIRC="OFF",M174*AVERAGE(M155,M157),0)</f>
        <v>35.405000000000001</v>
      </c>
    </row>
    <row r="174" spans="1:13">
      <c r="B174" s="134" t="s">
        <v>129</v>
      </c>
      <c r="H174" s="21"/>
      <c r="I174" s="137">
        <f t="shared" ref="I174:M174" si="54">$I$27</f>
        <v>7.2999999999999995E-2</v>
      </c>
      <c r="J174" s="137">
        <f t="shared" si="54"/>
        <v>7.2999999999999995E-2</v>
      </c>
      <c r="K174" s="137">
        <f t="shared" si="54"/>
        <v>7.2999999999999995E-2</v>
      </c>
      <c r="L174" s="137">
        <f t="shared" si="54"/>
        <v>7.2999999999999995E-2</v>
      </c>
      <c r="M174" s="137">
        <f t="shared" si="54"/>
        <v>7.2999999999999995E-2</v>
      </c>
    </row>
    <row r="176" spans="1:13">
      <c r="B176" s="113" t="s">
        <v>130</v>
      </c>
      <c r="C176" s="94"/>
      <c r="D176" s="55"/>
      <c r="E176" s="55"/>
      <c r="F176" s="55"/>
      <c r="G176" s="55"/>
      <c r="H176" s="55"/>
      <c r="I176" s="62">
        <f ca="1">I170+I173</f>
        <v>118.88</v>
      </c>
      <c r="J176" s="62">
        <f ca="1">J170+J173</f>
        <v>118.40671998733531</v>
      </c>
      <c r="K176" s="62">
        <f t="shared" ref="K176:M176" ca="1" si="55">K170+K173</f>
        <v>115.05778730509716</v>
      </c>
      <c r="L176" s="62">
        <f t="shared" ca="1" si="55"/>
        <v>108.18901868014686</v>
      </c>
      <c r="M176" s="63">
        <f t="shared" ca="1" si="55"/>
        <v>100.74907469592559</v>
      </c>
    </row>
    <row r="177" spans="1:13">
      <c r="B177" s="138" t="s">
        <v>131</v>
      </c>
      <c r="C177" s="95"/>
      <c r="D177" s="58"/>
      <c r="E177" s="58"/>
      <c r="F177" s="58"/>
      <c r="G177" s="58"/>
      <c r="H177" s="58"/>
      <c r="I177" s="59">
        <f ca="1">I176/AVERAGE(I160,I162)</f>
        <v>5.7708737864077667E-2</v>
      </c>
      <c r="J177" s="59">
        <f t="shared" ref="J177:M177" ca="1" si="56">J176/AVERAGE(J160,J162)</f>
        <v>5.7729238450575038E-2</v>
      </c>
      <c r="K177" s="59">
        <f t="shared" ca="1" si="56"/>
        <v>5.7879563373054325E-2</v>
      </c>
      <c r="L177" s="59">
        <f t="shared" ca="1" si="56"/>
        <v>5.8219871279960582E-2</v>
      </c>
      <c r="M177" s="60">
        <f t="shared" ca="1" si="56"/>
        <v>5.8646405542471768E-2</v>
      </c>
    </row>
    <row r="179" spans="1:13">
      <c r="A179" t="s">
        <v>3</v>
      </c>
      <c r="B179" s="83" t="s">
        <v>132</v>
      </c>
      <c r="C179" s="83"/>
      <c r="D179" s="3"/>
      <c r="E179" s="3"/>
      <c r="F179" s="41"/>
      <c r="G179" s="41"/>
      <c r="H179" s="41"/>
      <c r="I179" s="40"/>
      <c r="J179" s="40"/>
      <c r="K179" s="40"/>
      <c r="L179" s="40"/>
      <c r="M179" s="40">
        <v>2021</v>
      </c>
    </row>
    <row r="180" spans="1:13" ht="5" customHeight="1"/>
    <row r="181" spans="1:13">
      <c r="B181" s="54" t="s">
        <v>133</v>
      </c>
      <c r="M181" s="20">
        <f>M70</f>
        <v>419.43221152883063</v>
      </c>
    </row>
    <row r="182" spans="1:13">
      <c r="B182" s="107" t="s">
        <v>25</v>
      </c>
      <c r="M182" s="73">
        <f>F21</f>
        <v>9.1064996421548319</v>
      </c>
    </row>
    <row r="183" spans="1:13">
      <c r="B183" s="144" t="s">
        <v>134</v>
      </c>
      <c r="C183" s="98"/>
      <c r="D183" s="99"/>
      <c r="E183" s="99"/>
      <c r="F183" s="99"/>
      <c r="G183" s="99"/>
      <c r="H183" s="99"/>
      <c r="I183" s="99"/>
      <c r="J183" s="99"/>
      <c r="K183" s="99"/>
      <c r="L183" s="99"/>
      <c r="M183" s="121">
        <f>M181*M182</f>
        <v>3819.5592841955058</v>
      </c>
    </row>
    <row r="184" spans="1:13">
      <c r="B184" s="107" t="s">
        <v>135</v>
      </c>
      <c r="M184" s="22">
        <f ca="1">M162-M147</f>
        <v>1634.3065786241734</v>
      </c>
    </row>
    <row r="185" spans="1:13">
      <c r="B185" s="114" t="s">
        <v>136</v>
      </c>
      <c r="C185" s="115"/>
      <c r="D185" s="116"/>
      <c r="E185" s="116"/>
      <c r="F185" s="116"/>
      <c r="G185" s="116"/>
      <c r="H185" s="116"/>
      <c r="I185" s="116"/>
      <c r="J185" s="116"/>
      <c r="K185" s="116"/>
      <c r="L185" s="116"/>
      <c r="M185" s="143">
        <f ca="1">M183-M184</f>
        <v>2185.2527055713326</v>
      </c>
    </row>
    <row r="187" spans="1:13">
      <c r="B187" s="54" t="s">
        <v>137</v>
      </c>
      <c r="M187" s="22">
        <f>D40</f>
        <v>698.88735664000001</v>
      </c>
    </row>
    <row r="189" spans="1:13">
      <c r="B189" s="113" t="s">
        <v>138</v>
      </c>
      <c r="C189" s="94"/>
      <c r="D189" s="55"/>
      <c r="E189" s="55"/>
      <c r="F189" s="55"/>
      <c r="G189" s="55"/>
      <c r="H189" s="55"/>
      <c r="I189" s="55"/>
      <c r="J189" s="55"/>
      <c r="K189" s="55"/>
      <c r="L189" s="55"/>
      <c r="M189" s="140">
        <f ca="1">M185/M187</f>
        <v>3.1267595340073751</v>
      </c>
    </row>
    <row r="190" spans="1:13">
      <c r="B190" s="141" t="s">
        <v>132</v>
      </c>
      <c r="C190" s="95"/>
      <c r="D190" s="58"/>
      <c r="E190" s="58"/>
      <c r="F190" s="58"/>
      <c r="G190" s="58"/>
      <c r="H190" s="58"/>
      <c r="I190" s="58"/>
      <c r="J190" s="58"/>
      <c r="K190" s="58"/>
      <c r="L190" s="58"/>
      <c r="M190" s="142">
        <f ca="1">M189^(1/5)-1</f>
        <v>0.25608461589934972</v>
      </c>
    </row>
  </sheetData>
  <mergeCells count="4">
    <mergeCell ref="J107:J108"/>
    <mergeCell ref="D107:D108"/>
    <mergeCell ref="D105:D106"/>
    <mergeCell ref="J105:J106"/>
  </mergeCells>
  <dataValidations count="2">
    <dataValidation type="list" allowBlank="1" showInputMessage="1" showErrorMessage="1" sqref="F5" xr:uid="{967D889E-6148-944E-BEA1-9BF669016792}">
      <formula1>"ON, OFF"</formula1>
    </dataValidation>
    <dataValidation type="list" allowBlank="1" showInputMessage="1" showErrorMessage="1" sqref="F6" xr:uid="{20118A41-BC7A-324A-BD0C-DDE0FBC7C86F}">
      <formula1>"1,2"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A346-BB7E-2A46-8AAC-8B6E1016E9D6}">
  <dimension ref="A3:G31"/>
  <sheetViews>
    <sheetView showGridLines="0" zoomScale="125" workbookViewId="0">
      <selection activeCell="E6" sqref="E6"/>
    </sheetView>
  </sheetViews>
  <sheetFormatPr baseColWidth="10" defaultRowHeight="16"/>
  <cols>
    <col min="1" max="1" width="4" customWidth="1"/>
    <col min="2" max="2" width="40" bestFit="1" customWidth="1"/>
    <col min="3" max="5" width="15.6640625" customWidth="1"/>
  </cols>
  <sheetData>
    <row r="3" spans="1:5">
      <c r="A3" t="s">
        <v>3</v>
      </c>
      <c r="B3" s="1" t="s">
        <v>38</v>
      </c>
      <c r="C3" s="1"/>
      <c r="D3" s="1"/>
      <c r="E3" s="1"/>
    </row>
    <row r="4" spans="1:5" ht="5" customHeight="1"/>
    <row r="5" spans="1:5">
      <c r="B5" t="s">
        <v>39</v>
      </c>
      <c r="E5" s="14">
        <v>157</v>
      </c>
    </row>
    <row r="6" spans="1:5">
      <c r="B6" t="s">
        <v>40</v>
      </c>
      <c r="E6" s="15">
        <v>15.532522999999999</v>
      </c>
    </row>
    <row r="7" spans="1:5">
      <c r="B7" t="s">
        <v>41</v>
      </c>
      <c r="E7" s="19">
        <f>E31</f>
        <v>0.145624</v>
      </c>
    </row>
    <row r="8" spans="1:5">
      <c r="B8" t="s">
        <v>42</v>
      </c>
      <c r="E8" s="20">
        <f>SUMPRODUCT(D20:D29,E20:E29)</f>
        <v>18.915101359999998</v>
      </c>
    </row>
    <row r="9" spans="1:5">
      <c r="B9" t="s">
        <v>43</v>
      </c>
      <c r="E9" s="32">
        <f>E8/E5</f>
        <v>0.12047835261146496</v>
      </c>
    </row>
    <row r="10" spans="1:5">
      <c r="B10" t="s">
        <v>44</v>
      </c>
      <c r="E10" s="32">
        <f>E7-E9</f>
        <v>2.5145647388535045E-2</v>
      </c>
    </row>
    <row r="11" spans="1:5">
      <c r="B11" t="s">
        <v>45</v>
      </c>
      <c r="E11" s="34">
        <v>0.202047</v>
      </c>
    </row>
    <row r="13" spans="1:5">
      <c r="B13" t="s">
        <v>46</v>
      </c>
      <c r="E13" s="15">
        <f>16.3/E5</f>
        <v>0.10382165605095542</v>
      </c>
    </row>
    <row r="15" spans="1:5">
      <c r="B15" s="6" t="s">
        <v>47</v>
      </c>
      <c r="C15" s="6"/>
      <c r="D15" s="6"/>
      <c r="E15" s="96">
        <f>E6+E10+E11</f>
        <v>15.759715647388536</v>
      </c>
    </row>
    <row r="17" spans="1:7">
      <c r="A17" t="s">
        <v>3</v>
      </c>
      <c r="B17" s="1" t="s">
        <v>48</v>
      </c>
      <c r="C17" s="1"/>
      <c r="D17" s="1"/>
      <c r="E17" s="1"/>
    </row>
    <row r="18" spans="1:7" ht="5" customHeight="1"/>
    <row r="19" spans="1:7">
      <c r="C19" s="18" t="s">
        <v>49</v>
      </c>
      <c r="D19" s="18" t="s">
        <v>50</v>
      </c>
      <c r="E19" s="18" t="s">
        <v>51</v>
      </c>
      <c r="G19" s="25"/>
    </row>
    <row r="20" spans="1:7">
      <c r="B20" t="s">
        <v>52</v>
      </c>
      <c r="C20" s="14">
        <v>0.145624</v>
      </c>
      <c r="D20" s="14">
        <v>129.88999999999999</v>
      </c>
      <c r="E20" s="30">
        <f>IF(D20&lt;$E$5,C20)</f>
        <v>0.145624</v>
      </c>
      <c r="G20" s="25"/>
    </row>
    <row r="21" spans="1:7">
      <c r="B21" t="s">
        <v>53</v>
      </c>
      <c r="C21" s="14"/>
      <c r="D21" s="14"/>
      <c r="E21" s="31">
        <f t="shared" ref="E21:E29" si="0">IF(D21&lt;$E$5,C21)</f>
        <v>0</v>
      </c>
    </row>
    <row r="22" spans="1:7">
      <c r="B22" t="s">
        <v>55</v>
      </c>
      <c r="C22" s="14"/>
      <c r="D22" s="14"/>
      <c r="E22" s="31">
        <f t="shared" si="0"/>
        <v>0</v>
      </c>
    </row>
    <row r="23" spans="1:7">
      <c r="B23" t="s">
        <v>54</v>
      </c>
      <c r="C23" s="14"/>
      <c r="D23" s="14"/>
      <c r="E23" s="31">
        <f t="shared" si="0"/>
        <v>0</v>
      </c>
    </row>
    <row r="24" spans="1:7">
      <c r="B24" t="s">
        <v>56</v>
      </c>
      <c r="C24" s="14"/>
      <c r="D24" s="14"/>
      <c r="E24" s="31">
        <f t="shared" si="0"/>
        <v>0</v>
      </c>
    </row>
    <row r="25" spans="1:7">
      <c r="B25" t="s">
        <v>57</v>
      </c>
      <c r="C25" s="14"/>
      <c r="D25" s="14"/>
      <c r="E25" s="31">
        <f t="shared" si="0"/>
        <v>0</v>
      </c>
    </row>
    <row r="26" spans="1:7">
      <c r="B26" t="s">
        <v>58</v>
      </c>
      <c r="C26" s="14"/>
      <c r="D26" s="14"/>
      <c r="E26" s="31">
        <f t="shared" si="0"/>
        <v>0</v>
      </c>
    </row>
    <row r="27" spans="1:7">
      <c r="B27" t="s">
        <v>59</v>
      </c>
      <c r="C27" s="14"/>
      <c r="D27" s="14"/>
      <c r="E27" s="31">
        <f t="shared" si="0"/>
        <v>0</v>
      </c>
    </row>
    <row r="28" spans="1:7">
      <c r="B28" t="s">
        <v>60</v>
      </c>
      <c r="C28" s="14"/>
      <c r="D28" s="14"/>
      <c r="E28" s="31">
        <f t="shared" si="0"/>
        <v>0</v>
      </c>
    </row>
    <row r="29" spans="1:7">
      <c r="B29" t="s">
        <v>61</v>
      </c>
      <c r="C29" s="14"/>
      <c r="D29" s="14"/>
      <c r="E29" s="31">
        <f t="shared" si="0"/>
        <v>0</v>
      </c>
    </row>
    <row r="30" spans="1:7" ht="5" customHeight="1"/>
    <row r="31" spans="1:7">
      <c r="A31" t="s">
        <v>3</v>
      </c>
      <c r="B31" s="27" t="s">
        <v>62</v>
      </c>
      <c r="C31" s="28"/>
      <c r="D31" s="28"/>
      <c r="E31" s="29">
        <f>SUM(E20:E29)</f>
        <v>0.145624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LBO</vt:lpstr>
      <vt:lpstr>Shares</vt:lpstr>
      <vt:lpstr>Case</vt:lpstr>
      <vt:lpstr>CIRC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</dc:creator>
  <cp:lastModifiedBy>Ibrahim M</cp:lastModifiedBy>
  <dcterms:created xsi:type="dcterms:W3CDTF">2026-10-06T15:52:10Z</dcterms:created>
  <dcterms:modified xsi:type="dcterms:W3CDTF">2026-10-07T17:18:19Z</dcterms:modified>
</cp:coreProperties>
</file>