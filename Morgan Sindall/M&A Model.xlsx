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amdojo/Desktop/Prep/Morgan Sindell/"/>
    </mc:Choice>
  </mc:AlternateContent>
  <xr:revisionPtr revIDLastSave="0" documentId="8_{44D43F3F-EF7B-C14A-A274-F0E787D2E776}" xr6:coauthVersionLast="47" xr6:coauthVersionMax="47" xr10:uidLastSave="{00000000-0000-0000-0000-000000000000}"/>
  <bookViews>
    <workbookView xWindow="29480" yWindow="1080" windowWidth="25480" windowHeight="16260" xr2:uid="{7849EABB-D5C6-DC47-BFA7-74F3EC656AD9}"/>
  </bookViews>
  <sheets>
    <sheet name="M&amp;A" sheetId="7" r:id="rId1"/>
    <sheet name="Cost Synergy" sheetId="2" r:id="rId2"/>
    <sheet name="Revenue Synergy" sheetId="3" r:id="rId3"/>
    <sheet name="Powersystems " sheetId="4" r:id="rId4"/>
    <sheet name="Morgan Sindall" sheetId="5" r:id="rId5"/>
    <sheet name="Assumption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7" l="1"/>
  <c r="D5" i="7"/>
  <c r="E5" i="7"/>
  <c r="C6" i="7"/>
  <c r="D6" i="7"/>
  <c r="E6" i="7"/>
  <c r="C11" i="7"/>
  <c r="D11" i="7"/>
  <c r="D14" i="7" s="1"/>
  <c r="D16" i="7" s="1"/>
  <c r="E11" i="7"/>
  <c r="C12" i="7"/>
  <c r="D12" i="7"/>
  <c r="E12" i="7"/>
  <c r="E14" i="7" s="1"/>
  <c r="E16" i="7" s="1"/>
  <c r="C14" i="7"/>
  <c r="C16" i="7"/>
  <c r="C18" i="7" s="1"/>
  <c r="C21" i="7" s="1"/>
  <c r="C31" i="7" s="1"/>
  <c r="C23" i="7"/>
  <c r="D23" i="7"/>
  <c r="E23" i="7"/>
  <c r="D24" i="7"/>
  <c r="D26" i="7" s="1"/>
  <c r="D28" i="7" s="1"/>
  <c r="D25" i="7"/>
  <c r="C26" i="7"/>
  <c r="C28" i="7" s="1"/>
  <c r="E26" i="7"/>
  <c r="E28" i="7" s="1"/>
  <c r="C30" i="7"/>
  <c r="C32" i="7" s="1"/>
  <c r="D30" i="7"/>
  <c r="E30" i="7"/>
  <c r="C37" i="7"/>
  <c r="D37" i="7"/>
  <c r="E37" i="7"/>
  <c r="C39" i="7"/>
  <c r="E39" i="7"/>
  <c r="H4" i="7"/>
  <c r="I4" i="7"/>
  <c r="K4" i="7" s="1"/>
  <c r="J4" i="7"/>
  <c r="H5" i="7"/>
  <c r="J5" i="7"/>
  <c r="J7" i="7" s="1"/>
  <c r="K5" i="7"/>
  <c r="H6" i="7"/>
  <c r="K6" i="7" s="1"/>
  <c r="H7" i="7"/>
  <c r="I7" i="7"/>
  <c r="H8" i="7"/>
  <c r="I8" i="7"/>
  <c r="H9" i="7"/>
  <c r="I9" i="7"/>
  <c r="H10" i="7"/>
  <c r="I10" i="7"/>
  <c r="H11" i="7"/>
  <c r="C35" i="7" s="1"/>
  <c r="I11" i="7"/>
  <c r="D10" i="4"/>
  <c r="D12" i="4" s="1"/>
  <c r="D15" i="4" s="1"/>
  <c r="D17" i="4" s="1"/>
  <c r="E10" i="4"/>
  <c r="E12" i="4" s="1"/>
  <c r="E15" i="4" s="1"/>
  <c r="E17" i="4" s="1"/>
  <c r="F10" i="4"/>
  <c r="F12" i="4" s="1"/>
  <c r="C10" i="4"/>
  <c r="C12" i="4" s="1"/>
  <c r="C15" i="4" s="1"/>
  <c r="C17" i="4" s="1"/>
  <c r="D2" i="4"/>
  <c r="E2" i="4"/>
  <c r="F2" i="4"/>
  <c r="C2" i="4"/>
  <c r="F103" i="5"/>
  <c r="E103" i="5"/>
  <c r="D103" i="5"/>
  <c r="F95" i="5"/>
  <c r="E95" i="5"/>
  <c r="D95" i="5"/>
  <c r="F89" i="5"/>
  <c r="E89" i="5"/>
  <c r="D89" i="5"/>
  <c r="F80" i="5"/>
  <c r="E80" i="5"/>
  <c r="D80" i="5"/>
  <c r="F72" i="5"/>
  <c r="F81" i="5" s="1"/>
  <c r="E72" i="5"/>
  <c r="E81" i="5" s="1"/>
  <c r="D72" i="5"/>
  <c r="F21" i="5"/>
  <c r="E21" i="5"/>
  <c r="D21" i="5"/>
  <c r="F18" i="5"/>
  <c r="E18" i="5"/>
  <c r="D18" i="5"/>
  <c r="F15" i="5"/>
  <c r="F14" i="5"/>
  <c r="E14" i="5"/>
  <c r="E15" i="5" s="1"/>
  <c r="D14" i="5"/>
  <c r="D15" i="5" s="1"/>
  <c r="F12" i="5"/>
  <c r="E12" i="5"/>
  <c r="D12" i="5"/>
  <c r="F10" i="5"/>
  <c r="E10" i="5"/>
  <c r="D10" i="5"/>
  <c r="F9" i="5"/>
  <c r="E9" i="5"/>
  <c r="D9" i="5"/>
  <c r="F6" i="5"/>
  <c r="E6" i="5"/>
  <c r="C7" i="3"/>
  <c r="C5" i="3"/>
  <c r="C10" i="2"/>
  <c r="C8" i="2"/>
  <c r="C6" i="2"/>
  <c r="C4" i="2"/>
  <c r="E18" i="7" l="1"/>
  <c r="E21" i="7" s="1"/>
  <c r="E31" i="7" s="1"/>
  <c r="E32" i="7" s="1"/>
  <c r="E38" i="7"/>
  <c r="E40" i="7" s="1"/>
  <c r="K8" i="7"/>
  <c r="J8" i="7"/>
  <c r="D18" i="7"/>
  <c r="D21" i="7" s="1"/>
  <c r="D31" i="7" s="1"/>
  <c r="D32" i="7" s="1"/>
  <c r="D38" i="7"/>
  <c r="D40" i="7" s="1"/>
  <c r="J9" i="7"/>
  <c r="K7" i="7"/>
  <c r="E41" i="7"/>
  <c r="D39" i="7"/>
  <c r="D41" i="7" s="1"/>
  <c r="C38" i="7"/>
  <c r="C40" i="7" s="1"/>
  <c r="C41" i="7" s="1"/>
  <c r="E35" i="7"/>
  <c r="D35" i="7"/>
  <c r="F15" i="4"/>
  <c r="F3" i="4"/>
  <c r="F4" i="4" s="1"/>
  <c r="D3" i="4"/>
  <c r="D4" i="4" s="1"/>
  <c r="C3" i="4"/>
  <c r="C4" i="4" s="1"/>
  <c r="E3" i="4"/>
  <c r="E4" i="4" s="1"/>
  <c r="F96" i="5"/>
  <c r="F104" i="5" s="1"/>
  <c r="D81" i="5"/>
  <c r="D96" i="5"/>
  <c r="D104" i="5" s="1"/>
  <c r="E96" i="5"/>
  <c r="E104" i="5" s="1"/>
  <c r="E105" i="5" s="1"/>
  <c r="F105" i="5"/>
  <c r="D42" i="7" l="1"/>
  <c r="D43" i="7" s="1"/>
  <c r="D44" i="7" s="1"/>
  <c r="D45" i="7" s="1"/>
  <c r="D46" i="7" s="1"/>
  <c r="E42" i="7"/>
  <c r="E43" i="7" s="1"/>
  <c r="E44" i="7" s="1"/>
  <c r="E45" i="7" s="1"/>
  <c r="E46" i="7" s="1"/>
  <c r="J10" i="7"/>
  <c r="K10" i="7" s="1"/>
  <c r="J11" i="7"/>
  <c r="C43" i="7"/>
  <c r="C44" i="7" s="1"/>
  <c r="C45" i="7" s="1"/>
  <c r="C46" i="7" s="1"/>
  <c r="C42" i="7"/>
  <c r="K9" i="7"/>
  <c r="F17" i="4"/>
  <c r="D105" i="5"/>
  <c r="K1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Ibrahim M</author>
  </authors>
  <commentList>
    <comment ref="B45" authorId="0" shapeId="0" xr:uid="{3CED0167-0879-9E46-81CA-21E10272E530}">
      <text>
        <r>
          <rPr>
            <b/>
            <sz val="10"/>
            <color rgb="FF000000"/>
            <rFont val="Tahoma"/>
            <family val="2"/>
          </rPr>
          <t>Ibrahim 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Assuming 100% cash deal</t>
        </r>
      </text>
    </comment>
  </commentList>
</comments>
</file>

<file path=xl/sharedStrings.xml><?xml version="1.0" encoding="utf-8"?>
<sst xmlns="http://schemas.openxmlformats.org/spreadsheetml/2006/main" count="230" uniqueCount="208">
  <si>
    <t>Average Morgan energy contract</t>
  </si>
  <si>
    <t>Relevant subcontracted work</t>
  </si>
  <si>
    <t xml:space="preserve">Subcontractor EBITDA margin </t>
  </si>
  <si>
    <t>Subcontractor spend per contract</t>
  </si>
  <si>
    <t>Subcontractor EBITDA pool</t>
  </si>
  <si>
    <t xml:space="preserve">% Powersystems could internalise </t>
  </si>
  <si>
    <t>Incremental EBITDA per contract</t>
  </si>
  <si>
    <t xml:space="preserve">Average relevant contracts per year </t>
  </si>
  <si>
    <t>Annual synergy EBITDA</t>
  </si>
  <si>
    <t>Morgan</t>
  </si>
  <si>
    <t xml:space="preserve">Average electrical package </t>
  </si>
  <si>
    <t>EBITDA Margin</t>
  </si>
  <si>
    <t>Powersystems/competitors self-delivery</t>
  </si>
  <si>
    <t>EBITDA</t>
  </si>
  <si>
    <t>Relevant contracts per year</t>
  </si>
  <si>
    <t>Revenue</t>
  </si>
  <si>
    <t>COGS</t>
  </si>
  <si>
    <t>Gross Profit</t>
  </si>
  <si>
    <t>Admin expense</t>
  </si>
  <si>
    <t>Operating Profit</t>
  </si>
  <si>
    <t>Interest Income</t>
  </si>
  <si>
    <t>Interest Expense</t>
  </si>
  <si>
    <t>Profit before Tax</t>
  </si>
  <si>
    <t>Tax</t>
  </si>
  <si>
    <t>Profit</t>
  </si>
  <si>
    <t>Fixed assets</t>
  </si>
  <si>
    <t>Tangible assets</t>
  </si>
  <si>
    <t>Investments</t>
  </si>
  <si>
    <t>Total fixed assets</t>
  </si>
  <si>
    <t>Current assets</t>
  </si>
  <si>
    <t>Stocks</t>
  </si>
  <si>
    <t>Debtors</t>
  </si>
  <si>
    <t>Cash at bank and in hand</t>
  </si>
  <si>
    <t>Total current assets</t>
  </si>
  <si>
    <t>Creditors: amounts falling due within one year</t>
  </si>
  <si>
    <t>Net current assets</t>
  </si>
  <si>
    <t>Total assets less current liabilities</t>
  </si>
  <si>
    <t>Provisions for liabilities</t>
  </si>
  <si>
    <t>Provisions</t>
  </si>
  <si>
    <t>Deferred tax liability</t>
  </si>
  <si>
    <t>Total provisions / deferred tax</t>
  </si>
  <si>
    <t>Net assets</t>
  </si>
  <si>
    <t>Capital and reserves</t>
  </si>
  <si>
    <t>Called up share capital</t>
  </si>
  <si>
    <t>Share premium account</t>
  </si>
  <si>
    <t>Share option reserve</t>
  </si>
  <si>
    <t>Profit and loss reserves</t>
  </si>
  <si>
    <t>Total equity</t>
  </si>
  <si>
    <t>Cash flows from operating activities</t>
  </si>
  <si>
    <t>Cash generated from/(absorbed by) operations</t>
  </si>
  <si>
    <t>Interest paid</t>
  </si>
  <si>
    <t>Income taxes paid</t>
  </si>
  <si>
    <t>Net cash inflow/(outflow) from operating activities</t>
  </si>
  <si>
    <t>Investing activities</t>
  </si>
  <si>
    <t>Purchase of tangible fixed assets</t>
  </si>
  <si>
    <t>Proceeds on disposal of tangible fixed assets</t>
  </si>
  <si>
    <t>Purchase of subsidiaries</t>
  </si>
  <si>
    <t>Interest received</t>
  </si>
  <si>
    <t>Net cash used in investing activities</t>
  </si>
  <si>
    <t>Financing activities</t>
  </si>
  <si>
    <t>Proceeds from issue of shares</t>
  </si>
  <si>
    <t>Gifts made to EOT and EBT entities</t>
  </si>
  <si>
    <t>Net cash used in financing activities</t>
  </si>
  <si>
    <t>Cash movement</t>
  </si>
  <si>
    <t>Net (decrease)/increase in cash and cash equivalents</t>
  </si>
  <si>
    <t>Cash and cash equivalents at beginning of year</t>
  </si>
  <si>
    <t>Cash and cash equivalents at end of year</t>
  </si>
  <si>
    <t>2023A</t>
  </si>
  <si>
    <t>2024A</t>
  </si>
  <si>
    <t>2025A</t>
  </si>
  <si>
    <t>Income Statement</t>
  </si>
  <si>
    <t>% growth</t>
  </si>
  <si>
    <t>Cost of sales</t>
  </si>
  <si>
    <t>Gross profit</t>
  </si>
  <si>
    <t>Gross margin</t>
  </si>
  <si>
    <t>Administrative &amp; other operating items</t>
  </si>
  <si>
    <t>Operating profit (EBIT)</t>
  </si>
  <si>
    <t>Operating margin</t>
  </si>
  <si>
    <t>D&amp;A</t>
  </si>
  <si>
    <t>EBITDA margin</t>
  </si>
  <si>
    <t>Finance income</t>
  </si>
  <si>
    <t>Finance expense</t>
  </si>
  <si>
    <t>Net finance income</t>
  </si>
  <si>
    <t>Profit before tax</t>
  </si>
  <si>
    <t>Effective tax rate</t>
  </si>
  <si>
    <t>Net income</t>
  </si>
  <si>
    <t>Cash Flow Statement</t>
  </si>
  <si>
    <t>Operating profit</t>
  </si>
  <si>
    <t>JV profit adjustment</t>
  </si>
  <si>
    <t>Share-based payments</t>
  </si>
  <si>
    <t>Change in provisions &amp; other non-cash</t>
  </si>
  <si>
    <t>Operating cash before working capital</t>
  </si>
  <si>
    <t>Change in inventories</t>
  </si>
  <si>
    <t>Change in contract assets</t>
  </si>
  <si>
    <t>Change in receivables</t>
  </si>
  <si>
    <t>Change in contract liabilities</t>
  </si>
  <si>
    <t>Change in trade payables</t>
  </si>
  <si>
    <t>Total working capital movement</t>
  </si>
  <si>
    <t>Cash generated from operations</t>
  </si>
  <si>
    <t>Taxes paid</t>
  </si>
  <si>
    <t>Net cash from operating activities</t>
  </si>
  <si>
    <t>Dividends from joint ventures</t>
  </si>
  <si>
    <t>Proceeds on disposal of PP&amp;E</t>
  </si>
  <si>
    <t>PP&amp;E capex</t>
  </si>
  <si>
    <t>Intangible capex</t>
  </si>
  <si>
    <t>JV advances</t>
  </si>
  <si>
    <t>JV repayments</t>
  </si>
  <si>
    <t>Net cash from investing activities</t>
  </si>
  <si>
    <t>Dividends paid</t>
  </si>
  <si>
    <t>Lease repayments</t>
  </si>
  <si>
    <t>Share issuance</t>
  </si>
  <si>
    <t>Trust share purchases</t>
  </si>
  <si>
    <t>Option exercise proceeds</t>
  </si>
  <si>
    <t>Net cash from financing activities</t>
  </si>
  <si>
    <t>Net change in net cash</t>
  </si>
  <si>
    <t>Beginning net cash</t>
  </si>
  <si>
    <t>Ending net cash</t>
  </si>
  <si>
    <t>Balance Sheet</t>
  </si>
  <si>
    <t>Assets</t>
  </si>
  <si>
    <t>Goodwill &amp; other intangible assets</t>
  </si>
  <si>
    <t>Property, plant &amp; equipment</t>
  </si>
  <si>
    <t>Investment property</t>
  </si>
  <si>
    <t>Investments in joint ventures</t>
  </si>
  <si>
    <t>Deferred tax asset</t>
  </si>
  <si>
    <t>Total non-current assets</t>
  </si>
  <si>
    <t>Inventories</t>
  </si>
  <si>
    <t>Contract assets</t>
  </si>
  <si>
    <t>Trade &amp; other receivables</t>
  </si>
  <si>
    <t>Current tax receivable / (liability)</t>
  </si>
  <si>
    <t>Cash &amp; cash equivalents</t>
  </si>
  <si>
    <t>Gross cash = net cash + overdrafts</t>
  </si>
  <si>
    <t>Assets held for sale</t>
  </si>
  <si>
    <t>Total assets</t>
  </si>
  <si>
    <t>Liabilities</t>
  </si>
  <si>
    <t>Contract liabilities</t>
  </si>
  <si>
    <t>Trade &amp; other payables</t>
  </si>
  <si>
    <t>Lease liabilities – current</t>
  </si>
  <si>
    <t>Borrowings</t>
  </si>
  <si>
    <t>Provisions – current</t>
  </si>
  <si>
    <t>Total current liabilities</t>
  </si>
  <si>
    <t>Trade &amp; other payables – non-current</t>
  </si>
  <si>
    <t>Lease liabilities – non-current</t>
  </si>
  <si>
    <t>Deferred tax liabilities</t>
  </si>
  <si>
    <t>Provisions – non-current</t>
  </si>
  <si>
    <t>Total non-current liabilities</t>
  </si>
  <si>
    <t>Total liabilities</t>
  </si>
  <si>
    <t>Equity</t>
  </si>
  <si>
    <t>Share capital</t>
  </si>
  <si>
    <t>Share premium</t>
  </si>
  <si>
    <t>Other reserves</t>
  </si>
  <si>
    <t>Retained earnings</t>
  </si>
  <si>
    <t>Total liabilities &amp; equity</t>
  </si>
  <si>
    <t>Balance check</t>
  </si>
  <si>
    <t>Powersystems</t>
  </si>
  <si>
    <t>Purchase EV</t>
  </si>
  <si>
    <t>Cash</t>
  </si>
  <si>
    <t>Debt</t>
  </si>
  <si>
    <t>Equity purchase price</t>
  </si>
  <si>
    <t>Transaction fees</t>
  </si>
  <si>
    <t xml:space="preserve">Financing </t>
  </si>
  <si>
    <t>Tax Rate</t>
  </si>
  <si>
    <t>EBIT</t>
  </si>
  <si>
    <t>Equity Value</t>
  </si>
  <si>
    <t>-</t>
  </si>
  <si>
    <t>Total Uses</t>
  </si>
  <si>
    <t>Total Sources</t>
  </si>
  <si>
    <t>Cost synergy EBITDA</t>
  </si>
  <si>
    <t>Revenue synergy EBITDA</t>
  </si>
  <si>
    <t>Cash considerations + fees</t>
  </si>
  <si>
    <t xml:space="preserve">EBIT </t>
  </si>
  <si>
    <t>Net interest</t>
  </si>
  <si>
    <t xml:space="preserve">PBT </t>
  </si>
  <si>
    <t xml:space="preserve">Tax </t>
  </si>
  <si>
    <t>Net Income</t>
  </si>
  <si>
    <t>Synergies</t>
  </si>
  <si>
    <t>Pro Forma</t>
  </si>
  <si>
    <t>Standalone EPS</t>
  </si>
  <si>
    <t xml:space="preserve">Shares outstanding </t>
  </si>
  <si>
    <t>BALANCE SHEET</t>
  </si>
  <si>
    <t>CASH FLOW STATEMENT</t>
  </si>
  <si>
    <t xml:space="preserve">INCOME STATEMENT </t>
  </si>
  <si>
    <t>Margin</t>
  </si>
  <si>
    <t>Nominalised EBITDA (assumed)</t>
  </si>
  <si>
    <t>EV / Multiple</t>
  </si>
  <si>
    <t xml:space="preserve">Downside </t>
  </si>
  <si>
    <t xml:space="preserve">Base </t>
  </si>
  <si>
    <t>Upside</t>
  </si>
  <si>
    <t>Lost cash interest rate</t>
  </si>
  <si>
    <t>Tax rate</t>
  </si>
  <si>
    <t>(+) Cash</t>
  </si>
  <si>
    <t>(-) Debt</t>
  </si>
  <si>
    <t xml:space="preserve">Morgan Sindall Cash </t>
  </si>
  <si>
    <t>New Debt</t>
  </si>
  <si>
    <t>New Shares</t>
  </si>
  <si>
    <t>Synergy-adjsuted multiple</t>
  </si>
  <si>
    <t>Total EBITDA contribution</t>
  </si>
  <si>
    <t>Powersystems standalone EBITDA</t>
  </si>
  <si>
    <t xml:space="preserve">Morgan Sindall Net Cash </t>
  </si>
  <si>
    <t>Post-deal Net Cash</t>
  </si>
  <si>
    <t xml:space="preserve">Synergy EBIT </t>
  </si>
  <si>
    <t>Lost interest</t>
  </si>
  <si>
    <t xml:space="preserve">Synergy PBT </t>
  </si>
  <si>
    <t>Synergy tax</t>
  </si>
  <si>
    <t>Synergy net income</t>
  </si>
  <si>
    <t xml:space="preserve">Pro Forma net income </t>
  </si>
  <si>
    <t>EPS Accretion</t>
  </si>
  <si>
    <t xml:space="preserve">Pro Forma EPS </t>
  </si>
  <si>
    <t>Enterprise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</si>
</sst>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6" formatCode="0.0%"/>
    <numFmt numFmtId="172" formatCode="_(* #,##0.0_);_(* \(#,##0.0\);_(* &quot;-&quot;??_);_(@_)"/>
    <numFmt numFmtId="175" formatCode="#,##0.0;[Red]\(#,##0.0\);\-"/>
    <numFmt numFmtId="176" formatCode="0.0%;[Red]\(0.0%\);\-"/>
    <numFmt numFmtId="177" formatCode="0.0"/>
    <numFmt numFmtId="178" formatCode="#,##0.0"/>
    <numFmt numFmtId="181" formatCode="0.0&quot;x&quot;"/>
    <numFmt numFmtId="185" formatCode="&quot;£&quot;#,##0.00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i/>
      <sz val="14"/>
      <color rgb="FF666666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i/>
      <sz val="14"/>
      <color rgb="FF666666"/>
      <name val="Calibri"/>
      <family val="2"/>
      <scheme val="minor"/>
    </font>
    <font>
      <b/>
      <i/>
      <sz val="14"/>
      <color rgb="FFFFFFFF"/>
      <name val="Calibri"/>
      <family val="2"/>
      <scheme val="minor"/>
    </font>
    <font>
      <sz val="14"/>
      <color rgb="FF0000FF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17365D"/>
      <name val="Calibri"/>
      <family val="2"/>
      <scheme val="minor"/>
    </font>
    <font>
      <b/>
      <i/>
      <sz val="14"/>
      <color rgb="FF17365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3" fontId="0" fillId="0" borderId="0" xfId="0" applyNumberFormat="1"/>
    <xf numFmtId="166" fontId="0" fillId="0" borderId="0" xfId="2" applyNumberFormat="1" applyFont="1"/>
    <xf numFmtId="10" fontId="0" fillId="0" borderId="0" xfId="2" applyNumberFormat="1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66" fontId="0" fillId="0" borderId="0" xfId="0" applyNumberFormat="1"/>
    <xf numFmtId="172" fontId="0" fillId="0" borderId="0" xfId="1" applyNumberFormat="1" applyFont="1"/>
    <xf numFmtId="0" fontId="4" fillId="0" borderId="0" xfId="0" applyFont="1"/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175" fontId="12" fillId="0" borderId="0" xfId="0" applyNumberFormat="1" applyFont="1"/>
    <xf numFmtId="176" fontId="13" fillId="0" borderId="0" xfId="0" applyNumberFormat="1" applyFont="1"/>
    <xf numFmtId="0" fontId="14" fillId="0" borderId="1" xfId="0" applyFont="1" applyBorder="1"/>
    <xf numFmtId="0" fontId="7" fillId="0" borderId="1" xfId="0" applyFont="1" applyBorder="1"/>
    <xf numFmtId="175" fontId="15" fillId="0" borderId="1" xfId="0" applyNumberFormat="1" applyFont="1" applyBorder="1"/>
    <xf numFmtId="175" fontId="13" fillId="0" borderId="0" xfId="0" applyNumberFormat="1" applyFont="1"/>
    <xf numFmtId="175" fontId="16" fillId="0" borderId="1" xfId="0" applyNumberFormat="1" applyFont="1" applyBorder="1"/>
    <xf numFmtId="0" fontId="17" fillId="0" borderId="0" xfId="0" applyFont="1"/>
    <xf numFmtId="0" fontId="7" fillId="0" borderId="0" xfId="0" applyFont="1"/>
    <xf numFmtId="0" fontId="18" fillId="0" borderId="0" xfId="0" applyFont="1"/>
    <xf numFmtId="175" fontId="9" fillId="0" borderId="0" xfId="0" applyNumberFormat="1" applyFont="1"/>
    <xf numFmtId="175" fontId="17" fillId="0" borderId="0" xfId="0" applyNumberFormat="1" applyFont="1"/>
    <xf numFmtId="0" fontId="19" fillId="0" borderId="2" xfId="0" applyFont="1" applyFill="1" applyBorder="1" applyAlignment="1">
      <alignment horizontal="left"/>
    </xf>
    <xf numFmtId="0" fontId="20" fillId="0" borderId="2" xfId="0" applyFont="1" applyFill="1" applyBorder="1" applyAlignment="1">
      <alignment horizontal="left"/>
    </xf>
    <xf numFmtId="0" fontId="19" fillId="0" borderId="2" xfId="0" applyFont="1" applyFill="1" applyBorder="1" applyAlignment="1">
      <alignment horizontal="right"/>
    </xf>
    <xf numFmtId="177" fontId="0" fillId="0" borderId="0" xfId="0" applyNumberFormat="1"/>
    <xf numFmtId="178" fontId="0" fillId="0" borderId="0" xfId="0" applyNumberFormat="1"/>
    <xf numFmtId="178" fontId="0" fillId="0" borderId="3" xfId="0" applyNumberFormat="1" applyBorder="1"/>
    <xf numFmtId="178" fontId="0" fillId="0" borderId="4" xfId="0" applyNumberFormat="1" applyBorder="1"/>
    <xf numFmtId="175" fontId="0" fillId="0" borderId="0" xfId="0" applyNumberFormat="1"/>
    <xf numFmtId="181" fontId="0" fillId="0" borderId="0" xfId="0" applyNumberFormat="1"/>
    <xf numFmtId="0" fontId="2" fillId="3" borderId="0" xfId="0" applyFont="1" applyFill="1"/>
    <xf numFmtId="178" fontId="2" fillId="3" borderId="0" xfId="0" applyNumberFormat="1" applyFont="1" applyFill="1"/>
    <xf numFmtId="0" fontId="3" fillId="0" borderId="0" xfId="0" applyFont="1" applyFill="1" applyAlignment="1"/>
    <xf numFmtId="178" fontId="0" fillId="0" borderId="0" xfId="0" applyNumberFormat="1" applyFont="1" applyFill="1"/>
    <xf numFmtId="0" fontId="3" fillId="0" borderId="2" xfId="0" applyFont="1" applyFill="1" applyBorder="1" applyAlignment="1"/>
    <xf numFmtId="0" fontId="0" fillId="0" borderId="3" xfId="0" applyBorder="1"/>
    <xf numFmtId="0" fontId="3" fillId="0" borderId="3" xfId="0" applyFont="1" applyBorder="1"/>
    <xf numFmtId="178" fontId="3" fillId="0" borderId="3" xfId="0" applyNumberFormat="1" applyFont="1" applyBorder="1"/>
    <xf numFmtId="0" fontId="23" fillId="0" borderId="0" xfId="0" applyFont="1"/>
    <xf numFmtId="10" fontId="23" fillId="0" borderId="0" xfId="2" applyNumberFormat="1" applyFont="1"/>
    <xf numFmtId="0" fontId="0" fillId="0" borderId="0" xfId="0" applyAlignment="1">
      <alignment horizontal="right"/>
    </xf>
    <xf numFmtId="172" fontId="0" fillId="0" borderId="3" xfId="1" applyNumberFormat="1" applyFont="1" applyBorder="1"/>
    <xf numFmtId="181" fontId="3" fillId="0" borderId="0" xfId="0" applyNumberFormat="1" applyFont="1"/>
    <xf numFmtId="181" fontId="3" fillId="0" borderId="3" xfId="0" applyNumberFormat="1" applyFont="1" applyBorder="1"/>
    <xf numFmtId="181" fontId="0" fillId="0" borderId="3" xfId="0" applyNumberFormat="1" applyBorder="1"/>
    <xf numFmtId="0" fontId="0" fillId="0" borderId="0" xfId="0" applyAlignment="1"/>
    <xf numFmtId="177" fontId="0" fillId="0" borderId="0" xfId="0" applyNumberFormat="1" applyAlignment="1"/>
    <xf numFmtId="178" fontId="0" fillId="0" borderId="0" xfId="0" applyNumberFormat="1" applyAlignment="1"/>
    <xf numFmtId="181" fontId="0" fillId="0" borderId="0" xfId="1" applyNumberFormat="1" applyFont="1" applyAlignment="1"/>
    <xf numFmtId="177" fontId="3" fillId="0" borderId="3" xfId="0" applyNumberFormat="1" applyFont="1" applyBorder="1" applyAlignment="1"/>
    <xf numFmtId="0" fontId="3" fillId="0" borderId="3" xfId="0" applyFont="1" applyBorder="1" applyAlignment="1"/>
    <xf numFmtId="3" fontId="0" fillId="0" borderId="0" xfId="0" applyNumberFormat="1" applyAlignment="1"/>
    <xf numFmtId="43" fontId="0" fillId="0" borderId="0" xfId="1" applyFont="1" applyAlignment="1"/>
    <xf numFmtId="172" fontId="3" fillId="0" borderId="0" xfId="1" applyNumberFormat="1" applyFont="1" applyAlignment="1"/>
    <xf numFmtId="181" fontId="0" fillId="0" borderId="0" xfId="0" applyNumberFormat="1" applyAlignment="1"/>
    <xf numFmtId="172" fontId="0" fillId="0" borderId="0" xfId="1" applyNumberFormat="1" applyFont="1" applyAlignment="1"/>
    <xf numFmtId="172" fontId="0" fillId="0" borderId="0" xfId="0" applyNumberFormat="1" applyAlignment="1"/>
    <xf numFmtId="172" fontId="3" fillId="0" borderId="3" xfId="0" applyNumberFormat="1" applyFont="1" applyBorder="1" applyAlignment="1"/>
    <xf numFmtId="185" fontId="0" fillId="0" borderId="0" xfId="0" applyNumberFormat="1" applyAlignment="1"/>
    <xf numFmtId="177" fontId="0" fillId="0" borderId="3" xfId="0" applyNumberFormat="1" applyBorder="1" applyAlignment="1"/>
    <xf numFmtId="166" fontId="23" fillId="0" borderId="0" xfId="0" applyNumberFormat="1" applyFont="1" applyAlignment="1"/>
    <xf numFmtId="166" fontId="23" fillId="0" borderId="0" xfId="2" applyNumberFormat="1" applyFont="1" applyAlignment="1"/>
  </cellXfs>
  <cellStyles count="3">
    <cellStyle name="Comma" xfId="1" builtinId="3"/>
    <cellStyle name="Normal" xfId="0" builtinId="0"/>
    <cellStyle name="Per cent" xfId="2" builtinId="5"/>
  </cellStyles>
  <dxfs count="2"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2580-34E8-8440-A396-03A31AA251C7}">
  <dimension ref="B2:K47"/>
  <sheetViews>
    <sheetView showGridLines="0" tabSelected="1" workbookViewId="0">
      <selection activeCell="G13" sqref="G13:K26"/>
    </sheetView>
  </sheetViews>
  <sheetFormatPr baseColWidth="10" defaultRowHeight="16" x14ac:dyDescent="0.2"/>
  <cols>
    <col min="2" max="2" width="29.5" bestFit="1" customWidth="1"/>
    <col min="6" max="6" width="13.1640625" customWidth="1"/>
    <col min="8" max="11" width="15.83203125" customWidth="1"/>
  </cols>
  <sheetData>
    <row r="2" spans="2:11" x14ac:dyDescent="0.2">
      <c r="C2" s="47" t="s">
        <v>184</v>
      </c>
      <c r="D2" s="47" t="s">
        <v>185</v>
      </c>
      <c r="E2" s="47" t="s">
        <v>186</v>
      </c>
    </row>
    <row r="3" spans="2:11" x14ac:dyDescent="0.2">
      <c r="B3" t="s">
        <v>182</v>
      </c>
      <c r="C3" s="53">
        <v>6</v>
      </c>
      <c r="D3" s="54">
        <v>8</v>
      </c>
      <c r="E3" s="52">
        <v>9.5</v>
      </c>
      <c r="H3" s="47" t="s">
        <v>9</v>
      </c>
      <c r="I3" s="47" t="s">
        <v>153</v>
      </c>
      <c r="J3" s="47" t="s">
        <v>174</v>
      </c>
      <c r="K3" s="47" t="s">
        <v>175</v>
      </c>
    </row>
    <row r="4" spans="2:11" x14ac:dyDescent="0.2">
      <c r="B4" t="s">
        <v>183</v>
      </c>
      <c r="C4" s="55">
        <v>7</v>
      </c>
      <c r="D4" s="55">
        <v>8</v>
      </c>
      <c r="E4" s="55">
        <v>9</v>
      </c>
      <c r="G4" s="42" t="s">
        <v>15</v>
      </c>
      <c r="H4" s="48">
        <f>'Morgan Sindall'!E5</f>
        <v>4546.2</v>
      </c>
      <c r="I4" s="48">
        <f>'Powersystems '!F8</f>
        <v>63.549205999999998</v>
      </c>
      <c r="J4" s="48">
        <f>D25/12.7%</f>
        <v>36</v>
      </c>
      <c r="K4" s="48">
        <f>H4+I4+J4</f>
        <v>4645.7492059999995</v>
      </c>
    </row>
    <row r="5" spans="2:11" x14ac:dyDescent="0.2">
      <c r="B5" s="43" t="s">
        <v>154</v>
      </c>
      <c r="C5" s="56">
        <f>C3*C4</f>
        <v>42</v>
      </c>
      <c r="D5" s="56">
        <f>D3*D4</f>
        <v>64</v>
      </c>
      <c r="E5" s="57">
        <f>E3*E4</f>
        <v>85.5</v>
      </c>
      <c r="G5" t="s">
        <v>13</v>
      </c>
      <c r="H5" s="8">
        <f>'Morgan Sindall'!E11+'Morgan Sindall'!E13</f>
        <v>195.6</v>
      </c>
      <c r="I5" s="8">
        <v>0</v>
      </c>
      <c r="J5" s="8">
        <f>D6</f>
        <v>10.571999999999999</v>
      </c>
      <c r="K5" s="8">
        <f>H5+I5+J5</f>
        <v>206.172</v>
      </c>
    </row>
    <row r="6" spans="2:11" x14ac:dyDescent="0.2">
      <c r="B6" t="s">
        <v>8</v>
      </c>
      <c r="C6" s="53">
        <f>C24+C25</f>
        <v>5.5</v>
      </c>
      <c r="D6" s="54">
        <f>'Cost Synergy'!C10+'Revenue Synergy'!C7</f>
        <v>10.571999999999999</v>
      </c>
      <c r="E6" s="53">
        <f>E24+E25</f>
        <v>17.100000000000001</v>
      </c>
      <c r="G6" t="s">
        <v>78</v>
      </c>
      <c r="H6" s="8">
        <f>'Morgan Sindall'!E13</f>
        <v>33.6</v>
      </c>
      <c r="I6" s="8">
        <v>0</v>
      </c>
      <c r="J6" s="8">
        <v>0</v>
      </c>
      <c r="K6" s="8">
        <f>H6+I6+J6</f>
        <v>33.6</v>
      </c>
    </row>
    <row r="7" spans="2:11" x14ac:dyDescent="0.2">
      <c r="B7" t="s">
        <v>158</v>
      </c>
      <c r="C7" s="53">
        <v>2</v>
      </c>
      <c r="D7" s="53">
        <v>2</v>
      </c>
      <c r="E7" s="53">
        <v>2</v>
      </c>
      <c r="G7" t="s">
        <v>169</v>
      </c>
      <c r="H7" s="8">
        <f>H5-H6</f>
        <v>162</v>
      </c>
      <c r="I7" s="8">
        <f>'Powersystems '!F12</f>
        <v>7.5330849999999998</v>
      </c>
      <c r="J7" s="8">
        <f>J5-J6</f>
        <v>10.571999999999999</v>
      </c>
      <c r="K7" s="8">
        <f>H7+I7+J7</f>
        <v>180.105085</v>
      </c>
    </row>
    <row r="8" spans="2:11" x14ac:dyDescent="0.2">
      <c r="B8" t="s">
        <v>187</v>
      </c>
      <c r="C8" s="67">
        <v>0.03</v>
      </c>
      <c r="D8" s="67">
        <v>0.03</v>
      </c>
      <c r="E8" s="67">
        <v>0.03</v>
      </c>
      <c r="G8" t="s">
        <v>170</v>
      </c>
      <c r="H8" s="8">
        <f>'Morgan Sindall'!E16+'Morgan Sindall'!E17</f>
        <v>9.8999999999999986</v>
      </c>
      <c r="I8" s="8">
        <f>'Powersystems '!F13+'Powersystems '!F14</f>
        <v>0.103645</v>
      </c>
      <c r="J8" s="8">
        <f>-D16*3%</f>
        <v>-2.3035171500000002</v>
      </c>
      <c r="K8" s="8">
        <f>H8+I8+J8</f>
        <v>7.7001278499999986</v>
      </c>
    </row>
    <row r="9" spans="2:11" x14ac:dyDescent="0.2">
      <c r="B9" t="s">
        <v>188</v>
      </c>
      <c r="C9" s="67">
        <v>0.23400000000000001</v>
      </c>
      <c r="D9" s="67">
        <v>0.23400000000000001</v>
      </c>
      <c r="E9" s="67">
        <v>0.23400000000000001</v>
      </c>
      <c r="G9" t="s">
        <v>171</v>
      </c>
      <c r="H9" s="8">
        <f>'Morgan Sindall'!E19</f>
        <v>171.9</v>
      </c>
      <c r="I9" s="8">
        <f>'Powersystems '!F15</f>
        <v>7.6367299999999991</v>
      </c>
      <c r="J9" s="8">
        <f>J7+J8</f>
        <v>8.2684828499999981</v>
      </c>
      <c r="K9" s="8">
        <f>K7+K8</f>
        <v>187.80521285</v>
      </c>
    </row>
    <row r="10" spans="2:11" x14ac:dyDescent="0.2">
      <c r="C10" s="52"/>
      <c r="D10" s="58"/>
      <c r="E10" s="52"/>
      <c r="G10" t="s">
        <v>172</v>
      </c>
      <c r="H10" s="8">
        <f>'Morgan Sindall'!E20</f>
        <v>-40.200000000000003</v>
      </c>
      <c r="I10" s="8">
        <f>'Powersystems '!F16</f>
        <v>-1.9707190000000001</v>
      </c>
      <c r="J10" s="8">
        <f>-J9*'Morgan Sindall'!E21</f>
        <v>-1.9336417136125652</v>
      </c>
      <c r="K10" s="8">
        <f>H10+I10+J10</f>
        <v>-44.104360713612571</v>
      </c>
    </row>
    <row r="11" spans="2:11" x14ac:dyDescent="0.2">
      <c r="B11" t="s">
        <v>207</v>
      </c>
      <c r="C11" s="52">
        <f>C5</f>
        <v>42</v>
      </c>
      <c r="D11" s="53">
        <f>D5</f>
        <v>64</v>
      </c>
      <c r="E11" s="52">
        <f>E5</f>
        <v>85.5</v>
      </c>
      <c r="G11" t="s">
        <v>173</v>
      </c>
      <c r="H11" s="8">
        <f>'Morgan Sindall'!E22</f>
        <v>131.69999999999999</v>
      </c>
      <c r="I11" s="8">
        <f>'Powersystems '!F17</f>
        <v>5.6660109999999992</v>
      </c>
      <c r="J11" s="8">
        <f>J9+J10</f>
        <v>6.3348411363874328</v>
      </c>
      <c r="K11" s="8">
        <f>K9+K10</f>
        <v>143.70085213638743</v>
      </c>
    </row>
    <row r="12" spans="2:11" x14ac:dyDescent="0.2">
      <c r="B12" t="s">
        <v>189</v>
      </c>
      <c r="C12" s="54">
        <f>'Powersystems '!$F$28</f>
        <v>10.783905000000001</v>
      </c>
      <c r="D12" s="54">
        <f>'Powersystems '!$F$28</f>
        <v>10.783905000000001</v>
      </c>
      <c r="E12" s="54">
        <f>'Powersystems '!$F$28</f>
        <v>10.783905000000001</v>
      </c>
    </row>
    <row r="13" spans="2:11" x14ac:dyDescent="0.2">
      <c r="B13" s="36" t="s">
        <v>190</v>
      </c>
      <c r="C13" s="59">
        <v>0</v>
      </c>
      <c r="D13" s="59">
        <v>0</v>
      </c>
      <c r="E13" s="59">
        <v>0</v>
      </c>
    </row>
    <row r="14" spans="2:11" x14ac:dyDescent="0.2">
      <c r="B14" s="49" t="s">
        <v>162</v>
      </c>
      <c r="C14" s="60">
        <f>C11+C12-C13</f>
        <v>52.783905000000004</v>
      </c>
      <c r="D14" s="60">
        <f>D11+D12-D13</f>
        <v>74.783905000000004</v>
      </c>
      <c r="E14" s="60">
        <f>E11+E12-E13</f>
        <v>96.283905000000004</v>
      </c>
    </row>
    <row r="15" spans="2:11" x14ac:dyDescent="0.2">
      <c r="B15" s="36"/>
      <c r="C15" s="61"/>
      <c r="D15" s="62"/>
      <c r="E15" s="52"/>
    </row>
    <row r="16" spans="2:11" x14ac:dyDescent="0.2">
      <c r="B16" s="36" t="s">
        <v>164</v>
      </c>
      <c r="C16" s="62">
        <f>C14+C7</f>
        <v>54.783905000000004</v>
      </c>
      <c r="D16" s="62">
        <f>D14+D7</f>
        <v>76.783905000000004</v>
      </c>
      <c r="E16" s="62">
        <f>E14+E7</f>
        <v>98.283905000000004</v>
      </c>
    </row>
    <row r="17" spans="2:6" x14ac:dyDescent="0.2">
      <c r="B17" s="36"/>
      <c r="C17" s="61"/>
      <c r="D17" s="62"/>
      <c r="E17" s="52"/>
    </row>
    <row r="18" spans="2:6" x14ac:dyDescent="0.2">
      <c r="B18" s="36" t="s">
        <v>191</v>
      </c>
      <c r="C18" s="63">
        <f>C16</f>
        <v>54.783905000000004</v>
      </c>
      <c r="D18" s="63">
        <f>D16</f>
        <v>76.783905000000004</v>
      </c>
      <c r="E18" s="63">
        <f>E16</f>
        <v>98.283905000000004</v>
      </c>
    </row>
    <row r="19" spans="2:6" x14ac:dyDescent="0.2">
      <c r="B19" s="36" t="s">
        <v>192</v>
      </c>
      <c r="C19" s="59">
        <v>0</v>
      </c>
      <c r="D19" s="59">
        <v>0</v>
      </c>
      <c r="E19" s="59">
        <v>0</v>
      </c>
    </row>
    <row r="20" spans="2:6" x14ac:dyDescent="0.2">
      <c r="B20" s="36" t="s">
        <v>193</v>
      </c>
      <c r="C20" s="59">
        <v>0</v>
      </c>
      <c r="D20" s="59">
        <v>0</v>
      </c>
      <c r="E20" s="59">
        <v>0</v>
      </c>
    </row>
    <row r="21" spans="2:6" x14ac:dyDescent="0.2">
      <c r="B21" s="50" t="s">
        <v>165</v>
      </c>
      <c r="C21" s="64">
        <f>SUM(C18:C20)</f>
        <v>54.783905000000004</v>
      </c>
      <c r="D21" s="64">
        <f>SUM(D18:D20)</f>
        <v>76.783905000000004</v>
      </c>
      <c r="E21" s="64">
        <f>SUM(E18:E20)</f>
        <v>98.283905000000004</v>
      </c>
    </row>
    <row r="22" spans="2:6" x14ac:dyDescent="0.2">
      <c r="B22" s="36"/>
      <c r="C22" s="63"/>
      <c r="D22" s="63"/>
      <c r="E22" s="63"/>
    </row>
    <row r="23" spans="2:6" x14ac:dyDescent="0.2">
      <c r="B23" s="36" t="s">
        <v>196</v>
      </c>
      <c r="C23" s="53">
        <f>C3</f>
        <v>6</v>
      </c>
      <c r="D23" s="53">
        <f>D3</f>
        <v>8</v>
      </c>
      <c r="E23" s="53">
        <f>E3</f>
        <v>9.5</v>
      </c>
    </row>
    <row r="24" spans="2:6" x14ac:dyDescent="0.2">
      <c r="B24" s="36" t="s">
        <v>166</v>
      </c>
      <c r="C24" s="53">
        <v>3.5</v>
      </c>
      <c r="D24" s="53">
        <f>'Cost Synergy'!C10</f>
        <v>6</v>
      </c>
      <c r="E24" s="53">
        <v>9.5</v>
      </c>
    </row>
    <row r="25" spans="2:6" x14ac:dyDescent="0.2">
      <c r="B25" s="36" t="s">
        <v>167</v>
      </c>
      <c r="C25" s="53">
        <v>2</v>
      </c>
      <c r="D25" s="53">
        <f>'Revenue Synergy'!C7</f>
        <v>4.5720000000000001</v>
      </c>
      <c r="E25" s="53">
        <v>7.6</v>
      </c>
    </row>
    <row r="26" spans="2:6" x14ac:dyDescent="0.2">
      <c r="B26" s="50" t="s">
        <v>195</v>
      </c>
      <c r="C26" s="56">
        <f>SUM(C23:C25)</f>
        <v>11.5</v>
      </c>
      <c r="D26" s="56">
        <f>SUM(D23:D25)</f>
        <v>18.571999999999999</v>
      </c>
      <c r="E26" s="56">
        <f>SUM(E23:E25)</f>
        <v>26.6</v>
      </c>
      <c r="F26" s="31"/>
    </row>
    <row r="27" spans="2:6" x14ac:dyDescent="0.2">
      <c r="B27" s="36"/>
      <c r="C27" s="53"/>
      <c r="D27" s="53"/>
      <c r="E27" s="53"/>
    </row>
    <row r="28" spans="2:6" x14ac:dyDescent="0.2">
      <c r="B28" s="36" t="s">
        <v>194</v>
      </c>
      <c r="C28" s="61">
        <f>C5/C26</f>
        <v>3.652173913043478</v>
      </c>
      <c r="D28" s="61">
        <f>D5/D26</f>
        <v>3.4460478139134181</v>
      </c>
      <c r="E28" s="61">
        <f>E5/E26</f>
        <v>3.214285714285714</v>
      </c>
    </row>
    <row r="29" spans="2:6" x14ac:dyDescent="0.2">
      <c r="B29" s="36"/>
      <c r="C29" s="53"/>
      <c r="D29" s="53"/>
      <c r="E29" s="53"/>
    </row>
    <row r="30" spans="2:6" x14ac:dyDescent="0.2">
      <c r="B30" s="36" t="s">
        <v>197</v>
      </c>
      <c r="C30" s="53">
        <f>'Morgan Sindall'!F78-'Morgan Sindall'!F87</f>
        <v>531.20000000000005</v>
      </c>
      <c r="D30" s="53">
        <f>'Morgan Sindall'!F78-'Morgan Sindall'!F87</f>
        <v>531.20000000000005</v>
      </c>
      <c r="E30" s="53">
        <f>'Morgan Sindall'!F78-'Morgan Sindall'!F87</f>
        <v>531.20000000000005</v>
      </c>
    </row>
    <row r="31" spans="2:6" x14ac:dyDescent="0.2">
      <c r="B31" s="36" t="s">
        <v>168</v>
      </c>
      <c r="C31" s="53">
        <f>C21</f>
        <v>54.783905000000004</v>
      </c>
      <c r="D31" s="53">
        <f>D21</f>
        <v>76.783905000000004</v>
      </c>
      <c r="E31" s="53">
        <f>E21</f>
        <v>98.283905000000004</v>
      </c>
    </row>
    <row r="32" spans="2:6" x14ac:dyDescent="0.2">
      <c r="B32" s="50" t="s">
        <v>198</v>
      </c>
      <c r="C32" s="56">
        <f>C30-C31</f>
        <v>476.41609500000004</v>
      </c>
      <c r="D32" s="56">
        <f>D30-D31</f>
        <v>454.41609500000004</v>
      </c>
      <c r="E32" s="56">
        <f>E30-E31</f>
        <v>432.91609500000004</v>
      </c>
    </row>
    <row r="33" spans="2:5" x14ac:dyDescent="0.2">
      <c r="B33" s="36"/>
      <c r="C33" s="53"/>
      <c r="D33" s="53"/>
      <c r="E33" s="53"/>
    </row>
    <row r="34" spans="2:5" x14ac:dyDescent="0.2">
      <c r="B34" t="s">
        <v>177</v>
      </c>
      <c r="C34" s="52">
        <v>48.5</v>
      </c>
      <c r="D34" s="52">
        <v>48.5</v>
      </c>
      <c r="E34" s="53">
        <v>48.5</v>
      </c>
    </row>
    <row r="35" spans="2:5" x14ac:dyDescent="0.2">
      <c r="B35" t="s">
        <v>176</v>
      </c>
      <c r="C35" s="65">
        <f>H11/C34</f>
        <v>2.7154639175257729</v>
      </c>
      <c r="D35" s="65">
        <f>H11/D34</f>
        <v>2.7154639175257729</v>
      </c>
      <c r="E35" s="65">
        <f>H11/E34</f>
        <v>2.7154639175257729</v>
      </c>
    </row>
    <row r="36" spans="2:5" x14ac:dyDescent="0.2">
      <c r="C36" s="52"/>
      <c r="D36" s="52"/>
      <c r="E36" s="53"/>
    </row>
    <row r="37" spans="2:5" x14ac:dyDescent="0.2">
      <c r="B37" s="36" t="s">
        <v>154</v>
      </c>
      <c r="C37" s="53">
        <f>C5</f>
        <v>42</v>
      </c>
      <c r="D37" s="53">
        <f>D5</f>
        <v>64</v>
      </c>
      <c r="E37" s="53">
        <f>E5</f>
        <v>85.5</v>
      </c>
    </row>
    <row r="38" spans="2:5" x14ac:dyDescent="0.2">
      <c r="B38" s="36" t="s">
        <v>164</v>
      </c>
      <c r="C38" s="53">
        <f>C16</f>
        <v>54.783905000000004</v>
      </c>
      <c r="D38" s="53">
        <f>D16</f>
        <v>76.783905000000004</v>
      </c>
      <c r="E38" s="53">
        <f>E16</f>
        <v>98.283905000000004</v>
      </c>
    </row>
    <row r="39" spans="2:5" x14ac:dyDescent="0.2">
      <c r="B39" s="36" t="s">
        <v>199</v>
      </c>
      <c r="C39" s="53">
        <f>C24+C25</f>
        <v>5.5</v>
      </c>
      <c r="D39" s="53">
        <f>D24+D25</f>
        <v>10.571999999999999</v>
      </c>
      <c r="E39" s="53">
        <f>E24+E25</f>
        <v>17.100000000000001</v>
      </c>
    </row>
    <row r="40" spans="2:5" x14ac:dyDescent="0.2">
      <c r="B40" s="36" t="s">
        <v>200</v>
      </c>
      <c r="C40" s="62">
        <f>-C38*C8</f>
        <v>-1.6435171500000001</v>
      </c>
      <c r="D40" s="62">
        <f>-D38*D8</f>
        <v>-2.3035171500000002</v>
      </c>
      <c r="E40" s="62">
        <f>-E38*E8</f>
        <v>-2.9485171499999998</v>
      </c>
    </row>
    <row r="41" spans="2:5" x14ac:dyDescent="0.2">
      <c r="B41" s="51" t="s">
        <v>201</v>
      </c>
      <c r="C41" s="66">
        <f>C39+C40</f>
        <v>3.8564828499999999</v>
      </c>
      <c r="D41" s="66">
        <f>D39+D40</f>
        <v>8.2684828499999981</v>
      </c>
      <c r="E41" s="66">
        <f>E39+E40</f>
        <v>14.151482850000001</v>
      </c>
    </row>
    <row r="42" spans="2:5" x14ac:dyDescent="0.2">
      <c r="B42" s="36" t="s">
        <v>202</v>
      </c>
      <c r="C42" s="62">
        <f>-C41*C9</f>
        <v>-0.90241698690000005</v>
      </c>
      <c r="D42" s="62">
        <f>-D41*D9</f>
        <v>-1.9348249868999996</v>
      </c>
      <c r="E42" s="62">
        <f>-E41*E9</f>
        <v>-3.3114469869000005</v>
      </c>
    </row>
    <row r="43" spans="2:5" x14ac:dyDescent="0.2">
      <c r="B43" s="51" t="s">
        <v>203</v>
      </c>
      <c r="C43" s="66">
        <f>C41+C42</f>
        <v>2.9540658630999999</v>
      </c>
      <c r="D43" s="66">
        <f>D41+D42</f>
        <v>6.3336578630999982</v>
      </c>
      <c r="E43" s="66">
        <f>E41+E42</f>
        <v>10.840035863100001</v>
      </c>
    </row>
    <row r="44" spans="2:5" x14ac:dyDescent="0.2">
      <c r="B44" s="36" t="s">
        <v>204</v>
      </c>
      <c r="C44" s="53">
        <f>$H$11+$I$11+C43</f>
        <v>140.32007686309998</v>
      </c>
      <c r="D44" s="53">
        <f>$H$11+$I$11+D43</f>
        <v>143.69966886309999</v>
      </c>
      <c r="E44" s="53">
        <f>$H$11+$I$11+E43</f>
        <v>148.2060468631</v>
      </c>
    </row>
    <row r="45" spans="2:5" x14ac:dyDescent="0.2">
      <c r="B45" s="36" t="s">
        <v>206</v>
      </c>
      <c r="C45" s="65">
        <f>C44/$D$34</f>
        <v>2.8931974610948452</v>
      </c>
      <c r="D45" s="65">
        <f>D44/$D$34</f>
        <v>2.9628797703731955</v>
      </c>
      <c r="E45" s="65">
        <f>E44/$D$34</f>
        <v>3.0557947806824743</v>
      </c>
    </row>
    <row r="46" spans="2:5" x14ac:dyDescent="0.2">
      <c r="B46" s="36" t="s">
        <v>205</v>
      </c>
      <c r="C46" s="68">
        <f>C45/$D$35-1</f>
        <v>6.5452367981017501E-2</v>
      </c>
      <c r="D46" s="68">
        <f>D45/$D$35-1</f>
        <v>9.1113658793469998E-2</v>
      </c>
      <c r="E46" s="68">
        <f>E45/$D$35-1</f>
        <v>0.12533065195975723</v>
      </c>
    </row>
    <row r="47" spans="2:5" x14ac:dyDescent="0.2">
      <c r="B47" s="36"/>
      <c r="C47" s="31"/>
      <c r="D47" s="31"/>
      <c r="E47" s="31"/>
    </row>
  </sheetData>
  <pageMargins left="0.7" right="0.7" top="0.75" bottom="0.75" header="0.3" footer="0.3"/>
  <ignoredErrors>
    <ignoredError sqref="D6 I7 J10 K9:K10 C42:E42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28E4-B692-CE4E-BA93-13F32395D0A8}">
  <dimension ref="B2:C10"/>
  <sheetViews>
    <sheetView workbookViewId="0">
      <selection activeCell="D22" sqref="D22"/>
    </sheetView>
  </sheetViews>
  <sheetFormatPr baseColWidth="10" defaultRowHeight="16" x14ac:dyDescent="0.2"/>
  <cols>
    <col min="2" max="2" width="31.1640625" bestFit="1" customWidth="1"/>
  </cols>
  <sheetData>
    <row r="2" spans="2:3" x14ac:dyDescent="0.2">
      <c r="B2" t="s">
        <v>0</v>
      </c>
      <c r="C2">
        <v>100</v>
      </c>
    </row>
    <row r="3" spans="2:3" x14ac:dyDescent="0.2">
      <c r="B3" t="s">
        <v>1</v>
      </c>
      <c r="C3" s="7">
        <v>0.2</v>
      </c>
    </row>
    <row r="4" spans="2:3" x14ac:dyDescent="0.2">
      <c r="B4" t="s">
        <v>3</v>
      </c>
      <c r="C4">
        <f>C3*C2</f>
        <v>20</v>
      </c>
    </row>
    <row r="5" spans="2:3" x14ac:dyDescent="0.2">
      <c r="B5" t="s">
        <v>2</v>
      </c>
      <c r="C5" s="7">
        <v>0.1</v>
      </c>
    </row>
    <row r="6" spans="2:3" x14ac:dyDescent="0.2">
      <c r="B6" t="s">
        <v>4</v>
      </c>
      <c r="C6">
        <f>C5*C4</f>
        <v>2</v>
      </c>
    </row>
    <row r="7" spans="2:3" x14ac:dyDescent="0.2">
      <c r="B7" t="s">
        <v>5</v>
      </c>
      <c r="C7" s="7">
        <v>0.6</v>
      </c>
    </row>
    <row r="8" spans="2:3" x14ac:dyDescent="0.2">
      <c r="B8" t="s">
        <v>6</v>
      </c>
      <c r="C8">
        <f>C7*C6</f>
        <v>1.2</v>
      </c>
    </row>
    <row r="9" spans="2:3" x14ac:dyDescent="0.2">
      <c r="B9" t="s">
        <v>7</v>
      </c>
      <c r="C9">
        <v>5</v>
      </c>
    </row>
    <row r="10" spans="2:3" x14ac:dyDescent="0.2">
      <c r="B10" s="5" t="s">
        <v>8</v>
      </c>
      <c r="C10" s="5">
        <f>C8*C9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F8C3-5284-DB45-86B7-9C661EED8C09}">
  <dimension ref="B2:C7"/>
  <sheetViews>
    <sheetView workbookViewId="0">
      <selection activeCell="C4" sqref="C4"/>
    </sheetView>
  </sheetViews>
  <sheetFormatPr baseColWidth="10" defaultRowHeight="16" x14ac:dyDescent="0.2"/>
  <cols>
    <col min="2" max="2" width="23.83203125" bestFit="1" customWidth="1"/>
  </cols>
  <sheetData>
    <row r="2" spans="2:3" x14ac:dyDescent="0.2">
      <c r="B2" t="s">
        <v>10</v>
      </c>
      <c r="C2">
        <v>15</v>
      </c>
    </row>
    <row r="3" spans="2:3" x14ac:dyDescent="0.2">
      <c r="B3" t="s">
        <v>11</v>
      </c>
      <c r="C3" s="7">
        <v>0.127</v>
      </c>
    </row>
    <row r="4" spans="2:3" x14ac:dyDescent="0.2">
      <c r="B4" t="s">
        <v>12</v>
      </c>
      <c r="C4" s="7">
        <v>0.8</v>
      </c>
    </row>
    <row r="5" spans="2:3" x14ac:dyDescent="0.2">
      <c r="B5" t="s">
        <v>6</v>
      </c>
      <c r="C5" s="4">
        <f>(C3*C2)*C4</f>
        <v>1.524</v>
      </c>
    </row>
    <row r="6" spans="2:3" x14ac:dyDescent="0.2">
      <c r="B6" t="s">
        <v>14</v>
      </c>
      <c r="C6">
        <v>3</v>
      </c>
    </row>
    <row r="7" spans="2:3" x14ac:dyDescent="0.2">
      <c r="B7" s="5" t="s">
        <v>8</v>
      </c>
      <c r="C7" s="6">
        <f>C5*C6</f>
        <v>4.5720000000000001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1E69-4149-D84A-A461-571A9559D2DD}">
  <dimension ref="A1:K69"/>
  <sheetViews>
    <sheetView zoomScale="70" zoomScaleNormal="70" workbookViewId="0">
      <selection activeCell="I1" sqref="I1:N56"/>
    </sheetView>
  </sheetViews>
  <sheetFormatPr baseColWidth="10" defaultRowHeight="16" x14ac:dyDescent="0.2"/>
  <cols>
    <col min="2" max="2" width="45.83203125" bestFit="1" customWidth="1"/>
    <col min="3" max="4" width="14.83203125" customWidth="1"/>
    <col min="5" max="6" width="14.6640625" bestFit="1" customWidth="1"/>
    <col min="9" max="9" width="29.6640625" bestFit="1" customWidth="1"/>
    <col min="10" max="10" width="15.5" customWidth="1"/>
    <col min="11" max="11" width="14" bestFit="1" customWidth="1"/>
    <col min="12" max="12" width="13" bestFit="1" customWidth="1"/>
  </cols>
  <sheetData>
    <row r="1" spans="1:7" x14ac:dyDescent="0.2">
      <c r="A1" s="1"/>
    </row>
    <row r="2" spans="1:7" x14ac:dyDescent="0.2">
      <c r="B2" t="s">
        <v>15</v>
      </c>
      <c r="C2" s="35">
        <f>C8</f>
        <v>47.130142999999997</v>
      </c>
      <c r="D2" s="35">
        <f t="shared" ref="D2:F2" si="0">D8</f>
        <v>38.991622999999997</v>
      </c>
      <c r="E2" s="35">
        <f t="shared" si="0"/>
        <v>36.051834999999997</v>
      </c>
      <c r="F2" s="35">
        <f t="shared" si="0"/>
        <v>63.549205999999998</v>
      </c>
    </row>
    <row r="3" spans="1:7" x14ac:dyDescent="0.2">
      <c r="B3" t="s">
        <v>161</v>
      </c>
      <c r="C3" s="35">
        <f>C12</f>
        <v>3.5155599999999936</v>
      </c>
      <c r="D3" s="35">
        <f t="shared" ref="D3:F3" si="1">D12</f>
        <v>2.7433189999999961</v>
      </c>
      <c r="E3" s="35">
        <f t="shared" si="1"/>
        <v>2.4295939999999954</v>
      </c>
      <c r="F3" s="35">
        <f t="shared" si="1"/>
        <v>7.5330849999999998</v>
      </c>
    </row>
    <row r="4" spans="1:7" x14ac:dyDescent="0.2">
      <c r="B4" s="45" t="s">
        <v>181</v>
      </c>
      <c r="C4" s="46">
        <f>C3/C2</f>
        <v>7.4592602021173446E-2</v>
      </c>
      <c r="D4" s="46">
        <f t="shared" ref="D4:F4" si="2">D3/D2</f>
        <v>7.0356625062773001E-2</v>
      </c>
      <c r="E4" s="46">
        <f t="shared" si="2"/>
        <v>6.7391687552103674E-2</v>
      </c>
      <c r="F4" s="46">
        <f t="shared" si="2"/>
        <v>0.11853940393842215</v>
      </c>
    </row>
    <row r="6" spans="1:7" x14ac:dyDescent="0.2">
      <c r="C6">
        <v>2021</v>
      </c>
      <c r="D6">
        <v>2022</v>
      </c>
      <c r="E6">
        <v>2023</v>
      </c>
      <c r="F6">
        <v>2024</v>
      </c>
    </row>
    <row r="7" spans="1:7" x14ac:dyDescent="0.2">
      <c r="B7" s="37" t="s">
        <v>180</v>
      </c>
      <c r="C7" s="37"/>
      <c r="D7" s="37"/>
      <c r="E7" s="37"/>
      <c r="F7" s="37"/>
    </row>
    <row r="8" spans="1:7" x14ac:dyDescent="0.2">
      <c r="B8" t="s">
        <v>15</v>
      </c>
      <c r="C8" s="32">
        <v>47.130142999999997</v>
      </c>
      <c r="D8" s="32">
        <v>38.991622999999997</v>
      </c>
      <c r="E8" s="32">
        <v>36.051834999999997</v>
      </c>
      <c r="F8" s="32">
        <v>63.549205999999998</v>
      </c>
    </row>
    <row r="9" spans="1:7" x14ac:dyDescent="0.2">
      <c r="B9" t="s">
        <v>16</v>
      </c>
      <c r="C9" s="32">
        <v>-38.026003000000003</v>
      </c>
      <c r="D9" s="32">
        <v>-29.340651000000001</v>
      </c>
      <c r="E9" s="32">
        <v>-25.708964000000002</v>
      </c>
      <c r="F9" s="32">
        <v>-44.048873999999998</v>
      </c>
    </row>
    <row r="10" spans="1:7" x14ac:dyDescent="0.2">
      <c r="B10" s="42" t="s">
        <v>17</v>
      </c>
      <c r="C10" s="33">
        <f>(C8+C9)</f>
        <v>9.1041399999999939</v>
      </c>
      <c r="D10" s="33">
        <f t="shared" ref="D10:F10" si="3">(D8+D9)</f>
        <v>9.6509719999999959</v>
      </c>
      <c r="E10" s="33">
        <f t="shared" si="3"/>
        <v>10.342870999999995</v>
      </c>
      <c r="F10" s="33">
        <f t="shared" si="3"/>
        <v>19.500332</v>
      </c>
    </row>
    <row r="11" spans="1:7" x14ac:dyDescent="0.2">
      <c r="B11" t="s">
        <v>18</v>
      </c>
      <c r="C11" s="32">
        <v>-5.5885800000000003</v>
      </c>
      <c r="D11" s="32">
        <v>-6.9076529999999998</v>
      </c>
      <c r="E11" s="32">
        <v>-7.9132769999999999</v>
      </c>
      <c r="F11" s="32">
        <v>-11.967247</v>
      </c>
    </row>
    <row r="12" spans="1:7" x14ac:dyDescent="0.2">
      <c r="B12" s="42" t="s">
        <v>19</v>
      </c>
      <c r="C12" s="33">
        <f>(C10+C11)</f>
        <v>3.5155599999999936</v>
      </c>
      <c r="D12" s="33">
        <f t="shared" ref="D12:F12" si="4">(D10+D11)</f>
        <v>2.7433189999999961</v>
      </c>
      <c r="E12" s="33">
        <f t="shared" si="4"/>
        <v>2.4295939999999954</v>
      </c>
      <c r="F12" s="33">
        <f t="shared" si="4"/>
        <v>7.5330849999999998</v>
      </c>
    </row>
    <row r="13" spans="1:7" x14ac:dyDescent="0.2">
      <c r="B13" t="s">
        <v>20</v>
      </c>
      <c r="C13" s="32">
        <v>8.2240000000000004E-3</v>
      </c>
      <c r="D13" s="32">
        <v>1.3325E-2</v>
      </c>
      <c r="E13" s="32">
        <v>0.142487</v>
      </c>
      <c r="F13" s="32">
        <v>0.217699</v>
      </c>
    </row>
    <row r="14" spans="1:7" x14ac:dyDescent="0.2">
      <c r="B14" t="s">
        <v>21</v>
      </c>
      <c r="C14" s="32">
        <v>-4.2800999999999999E-2</v>
      </c>
      <c r="D14" s="32">
        <v>-4.0820000000000002E-2</v>
      </c>
      <c r="E14" s="32">
        <v>-4.8705999999999999E-2</v>
      </c>
      <c r="F14" s="32">
        <v>-0.114054</v>
      </c>
      <c r="G14" s="3"/>
    </row>
    <row r="15" spans="1:7" x14ac:dyDescent="0.2">
      <c r="B15" s="42" t="s">
        <v>22</v>
      </c>
      <c r="C15" s="33">
        <f>(C12+C13+C14)</f>
        <v>3.4809829999999935</v>
      </c>
      <c r="D15" s="33">
        <f t="shared" ref="D15:F15" si="5">(D12+D13+D14)</f>
        <v>2.715823999999996</v>
      </c>
      <c r="E15" s="33">
        <f t="shared" si="5"/>
        <v>2.5233749999999953</v>
      </c>
      <c r="F15" s="33">
        <f t="shared" si="5"/>
        <v>7.6367299999999991</v>
      </c>
    </row>
    <row r="16" spans="1:7" x14ac:dyDescent="0.2">
      <c r="B16" t="s">
        <v>23</v>
      </c>
      <c r="C16" s="32">
        <v>-0.75968599999999997</v>
      </c>
      <c r="D16" s="32">
        <v>-0.54435500000000003</v>
      </c>
      <c r="E16" s="32">
        <v>-0.34571800000000003</v>
      </c>
      <c r="F16" s="32">
        <v>-1.9707190000000001</v>
      </c>
    </row>
    <row r="17" spans="2:6" x14ac:dyDescent="0.2">
      <c r="B17" s="43" t="s">
        <v>24</v>
      </c>
      <c r="C17" s="44">
        <f>(C15+C16)</f>
        <v>2.7212969999999936</v>
      </c>
      <c r="D17" s="44">
        <f t="shared" ref="D17:F17" si="6">(D15+D16)</f>
        <v>2.1714689999999961</v>
      </c>
      <c r="E17" s="44">
        <f t="shared" si="6"/>
        <v>2.1776569999999951</v>
      </c>
      <c r="F17" s="44">
        <f t="shared" si="6"/>
        <v>5.6660109999999992</v>
      </c>
    </row>
    <row r="18" spans="2:6" x14ac:dyDescent="0.2">
      <c r="C18" s="32"/>
      <c r="D18" s="32"/>
      <c r="E18" s="32"/>
      <c r="F18" s="32"/>
    </row>
    <row r="19" spans="2:6" x14ac:dyDescent="0.2">
      <c r="B19" s="37" t="s">
        <v>178</v>
      </c>
      <c r="C19" s="38"/>
      <c r="D19" s="38"/>
      <c r="E19" s="38"/>
      <c r="F19" s="38"/>
    </row>
    <row r="20" spans="2:6" x14ac:dyDescent="0.2">
      <c r="B20" s="39" t="s">
        <v>25</v>
      </c>
      <c r="C20" s="40"/>
      <c r="D20" s="40"/>
      <c r="E20" s="40"/>
      <c r="F20" s="40"/>
    </row>
    <row r="21" spans="2:6" x14ac:dyDescent="0.2">
      <c r="B21" s="9" t="s">
        <v>26</v>
      </c>
      <c r="C21" s="32">
        <v>3.1379090000000001</v>
      </c>
      <c r="D21" s="32">
        <v>3.1553179999999998</v>
      </c>
      <c r="E21" s="32">
        <v>3.1260089999999998</v>
      </c>
      <c r="F21" s="32">
        <v>3.576041</v>
      </c>
    </row>
    <row r="22" spans="2:6" x14ac:dyDescent="0.2">
      <c r="B22" s="9" t="s">
        <v>27</v>
      </c>
      <c r="C22" s="32">
        <v>9.9999999999999995E-7</v>
      </c>
      <c r="D22" s="32">
        <v>9.9999999999999995E-7</v>
      </c>
      <c r="E22" s="32">
        <v>1.9999999999999999E-6</v>
      </c>
      <c r="F22" s="32">
        <v>1.9999999999999999E-6</v>
      </c>
    </row>
    <row r="23" spans="2:6" x14ac:dyDescent="0.2">
      <c r="B23" s="10" t="s">
        <v>28</v>
      </c>
      <c r="C23" s="33">
        <v>3.1379100000000002</v>
      </c>
      <c r="D23" s="33">
        <v>3.155319</v>
      </c>
      <c r="E23" s="33">
        <v>3.1260110000000001</v>
      </c>
      <c r="F23" s="33">
        <v>3.5760429999999999</v>
      </c>
    </row>
    <row r="24" spans="2:6" x14ac:dyDescent="0.2">
      <c r="B24" s="9"/>
      <c r="C24" s="32"/>
      <c r="D24" s="32"/>
      <c r="E24" s="32"/>
      <c r="F24" s="32"/>
    </row>
    <row r="25" spans="2:6" x14ac:dyDescent="0.2">
      <c r="B25" s="39" t="s">
        <v>29</v>
      </c>
      <c r="C25" s="40"/>
      <c r="D25" s="40"/>
      <c r="E25" s="40"/>
      <c r="F25" s="40"/>
    </row>
    <row r="26" spans="2:6" x14ac:dyDescent="0.2">
      <c r="B26" s="9" t="s">
        <v>30</v>
      </c>
      <c r="C26" s="32">
        <v>6.1011879999999996</v>
      </c>
      <c r="D26" s="32">
        <v>3.9408300000000001</v>
      </c>
      <c r="E26" s="32">
        <v>5.7817489999999996</v>
      </c>
      <c r="F26" s="32">
        <v>5.765142</v>
      </c>
    </row>
    <row r="27" spans="2:6" x14ac:dyDescent="0.2">
      <c r="B27" s="9" t="s">
        <v>31</v>
      </c>
      <c r="C27" s="32">
        <v>14.379764</v>
      </c>
      <c r="D27" s="32">
        <v>9.0174430000000001</v>
      </c>
      <c r="E27" s="32">
        <v>10.135546</v>
      </c>
      <c r="F27" s="32">
        <v>11.78623</v>
      </c>
    </row>
    <row r="28" spans="2:6" x14ac:dyDescent="0.2">
      <c r="B28" s="9" t="s">
        <v>32</v>
      </c>
      <c r="C28" s="32">
        <v>5.0773630000000001</v>
      </c>
      <c r="D28" s="32">
        <v>7.8868049999999998</v>
      </c>
      <c r="E28" s="32">
        <v>11.807361999999999</v>
      </c>
      <c r="F28" s="32">
        <v>10.783905000000001</v>
      </c>
    </row>
    <row r="29" spans="2:6" x14ac:dyDescent="0.2">
      <c r="B29" s="10" t="s">
        <v>33</v>
      </c>
      <c r="C29" s="33">
        <v>25.558315</v>
      </c>
      <c r="D29" s="33">
        <v>20.845078000000001</v>
      </c>
      <c r="E29" s="33">
        <v>27.724657000000001</v>
      </c>
      <c r="F29" s="33">
        <v>28.335277000000001</v>
      </c>
    </row>
    <row r="30" spans="2:6" x14ac:dyDescent="0.2">
      <c r="B30" s="9" t="s">
        <v>34</v>
      </c>
      <c r="C30" s="32">
        <v>-17.055036999999999</v>
      </c>
      <c r="D30" s="32">
        <v>-12.568818</v>
      </c>
      <c r="E30" s="32">
        <v>-20.806286</v>
      </c>
      <c r="F30" s="32">
        <v>-18.139139</v>
      </c>
    </row>
    <row r="31" spans="2:6" x14ac:dyDescent="0.2">
      <c r="B31" s="10" t="s">
        <v>35</v>
      </c>
      <c r="C31" s="34">
        <v>8.5032779999999999</v>
      </c>
      <c r="D31" s="34">
        <v>8.2762600000000006</v>
      </c>
      <c r="E31" s="34">
        <v>6.9183709999999996</v>
      </c>
      <c r="F31" s="34">
        <v>10.196137999999999</v>
      </c>
    </row>
    <row r="32" spans="2:6" x14ac:dyDescent="0.2">
      <c r="B32" s="10" t="s">
        <v>36</v>
      </c>
      <c r="C32" s="32">
        <v>11.641188</v>
      </c>
      <c r="D32" s="32">
        <v>11.431578999999999</v>
      </c>
      <c r="E32" s="32">
        <v>10.044382000000001</v>
      </c>
      <c r="F32" s="32">
        <v>13.772181</v>
      </c>
    </row>
    <row r="33" spans="2:6" x14ac:dyDescent="0.2">
      <c r="B33" s="9"/>
      <c r="C33" s="32"/>
      <c r="D33" s="32"/>
      <c r="E33" s="32"/>
      <c r="F33" s="32"/>
    </row>
    <row r="34" spans="2:6" x14ac:dyDescent="0.2">
      <c r="B34" s="39" t="s">
        <v>37</v>
      </c>
      <c r="C34" s="40"/>
      <c r="D34" s="40"/>
      <c r="E34" s="40"/>
      <c r="F34" s="40"/>
    </row>
    <row r="35" spans="2:6" x14ac:dyDescent="0.2">
      <c r="B35" s="9" t="s">
        <v>38</v>
      </c>
      <c r="C35" s="32">
        <v>-1.0919099999999999</v>
      </c>
      <c r="D35" s="32">
        <v>-0.77</v>
      </c>
      <c r="E35" s="32">
        <v>-3.7169000000000001E-2</v>
      </c>
      <c r="F35" s="32">
        <v>-2.0513E-2</v>
      </c>
    </row>
    <row r="36" spans="2:6" x14ac:dyDescent="0.2">
      <c r="B36" s="9" t="s">
        <v>39</v>
      </c>
      <c r="C36" s="32">
        <v>-0.317077</v>
      </c>
      <c r="D36" s="32">
        <v>-0.37162400000000001</v>
      </c>
      <c r="E36" s="32">
        <v>-0.41947000000000001</v>
      </c>
      <c r="F36" s="32">
        <v>-0.56933900000000004</v>
      </c>
    </row>
    <row r="37" spans="2:6" x14ac:dyDescent="0.2">
      <c r="B37" s="10" t="s">
        <v>40</v>
      </c>
      <c r="C37" s="34">
        <v>-1.408987</v>
      </c>
      <c r="D37" s="34">
        <v>-1.141624</v>
      </c>
      <c r="E37" s="34">
        <v>-0.45663900000000002</v>
      </c>
      <c r="F37" s="34">
        <v>-0.58985200000000004</v>
      </c>
    </row>
    <row r="38" spans="2:6" x14ac:dyDescent="0.2">
      <c r="B38" s="10" t="s">
        <v>41</v>
      </c>
      <c r="C38" s="32">
        <v>10.232201</v>
      </c>
      <c r="D38" s="32">
        <v>10.289955000000001</v>
      </c>
      <c r="E38" s="32">
        <v>9.5877429999999997</v>
      </c>
      <c r="F38" s="32">
        <v>13.182328999999999</v>
      </c>
    </row>
    <row r="39" spans="2:6" x14ac:dyDescent="0.2">
      <c r="B39" s="9"/>
      <c r="C39" s="32"/>
      <c r="D39" s="32"/>
      <c r="E39" s="32"/>
      <c r="F39" s="32"/>
    </row>
    <row r="40" spans="2:6" x14ac:dyDescent="0.2">
      <c r="B40" s="39" t="s">
        <v>42</v>
      </c>
      <c r="C40" s="40"/>
      <c r="D40" s="40"/>
      <c r="E40" s="40"/>
      <c r="F40" s="40"/>
    </row>
    <row r="41" spans="2:6" x14ac:dyDescent="0.2">
      <c r="B41" s="9" t="s">
        <v>43</v>
      </c>
      <c r="C41" s="32">
        <v>5.0000000000000001E-3</v>
      </c>
      <c r="D41" s="32">
        <v>5.0000000000000001E-3</v>
      </c>
      <c r="E41" s="32">
        <v>5.6410000000000002E-3</v>
      </c>
      <c r="F41" s="32">
        <v>5.6410000000000002E-3</v>
      </c>
    </row>
    <row r="42" spans="2:6" x14ac:dyDescent="0.2">
      <c r="B42" s="9" t="s">
        <v>44</v>
      </c>
      <c r="C42" s="32">
        <v>0</v>
      </c>
      <c r="D42" s="32">
        <v>0</v>
      </c>
      <c r="E42" s="32">
        <v>0.54420900000000005</v>
      </c>
      <c r="F42" s="32">
        <v>0.54420900000000005</v>
      </c>
    </row>
    <row r="43" spans="2:6" x14ac:dyDescent="0.2">
      <c r="B43" s="9" t="s">
        <v>45</v>
      </c>
      <c r="C43" s="32">
        <v>0.514872</v>
      </c>
      <c r="D43" s="32">
        <v>0.514872</v>
      </c>
      <c r="E43" s="32">
        <v>0.280806</v>
      </c>
      <c r="F43" s="32">
        <v>0.280806</v>
      </c>
    </row>
    <row r="44" spans="2:6" x14ac:dyDescent="0.2">
      <c r="B44" s="9" t="s">
        <v>46</v>
      </c>
      <c r="C44" s="32">
        <v>9.7123290000000004</v>
      </c>
      <c r="D44" s="32">
        <v>9.7700829999999996</v>
      </c>
      <c r="E44" s="32">
        <v>8.7570870000000003</v>
      </c>
      <c r="F44" s="32">
        <v>12.351673</v>
      </c>
    </row>
    <row r="45" spans="2:6" x14ac:dyDescent="0.2">
      <c r="B45" s="10" t="s">
        <v>47</v>
      </c>
      <c r="C45" s="33">
        <v>10.232201</v>
      </c>
      <c r="D45" s="33">
        <v>10.289955000000001</v>
      </c>
      <c r="E45" s="33">
        <v>9.5877429999999997</v>
      </c>
      <c r="F45" s="33">
        <v>13.182328999999999</v>
      </c>
    </row>
    <row r="46" spans="2:6" x14ac:dyDescent="0.2">
      <c r="C46" s="32"/>
      <c r="D46" s="32"/>
      <c r="E46" s="32"/>
      <c r="F46" s="32"/>
    </row>
    <row r="47" spans="2:6" x14ac:dyDescent="0.2">
      <c r="B47" s="37" t="s">
        <v>179</v>
      </c>
      <c r="C47" s="38"/>
      <c r="D47" s="38"/>
      <c r="E47" s="38"/>
      <c r="F47" s="38"/>
    </row>
    <row r="48" spans="2:6" x14ac:dyDescent="0.2">
      <c r="B48" s="39" t="s">
        <v>48</v>
      </c>
      <c r="C48" s="40"/>
      <c r="D48" s="40"/>
      <c r="E48" s="40"/>
      <c r="F48" s="40"/>
    </row>
    <row r="49" spans="2:11" x14ac:dyDescent="0.2">
      <c r="B49" s="9" t="s">
        <v>49</v>
      </c>
      <c r="C49" s="32">
        <v>-0.83487800000000001</v>
      </c>
      <c r="D49" s="32">
        <v>6.6188669999999998</v>
      </c>
      <c r="E49" s="32">
        <v>7.4412370000000001</v>
      </c>
      <c r="F49" s="32">
        <v>2.5681929999999999</v>
      </c>
    </row>
    <row r="50" spans="2:11" x14ac:dyDescent="0.2">
      <c r="B50" s="9" t="s">
        <v>50</v>
      </c>
      <c r="C50" s="32">
        <v>-4.2800999999999999E-2</v>
      </c>
      <c r="D50" s="32">
        <v>-4.0820000000000002E-2</v>
      </c>
      <c r="E50" s="32">
        <v>-4.8705999999999999E-2</v>
      </c>
      <c r="F50" s="32">
        <v>-0.114054</v>
      </c>
    </row>
    <row r="51" spans="2:11" x14ac:dyDescent="0.2">
      <c r="B51" s="9" t="s">
        <v>51</v>
      </c>
      <c r="C51" s="32">
        <v>-0.20786199999999999</v>
      </c>
      <c r="D51" s="32">
        <v>-1.2755639999999999</v>
      </c>
      <c r="E51" s="32">
        <v>-0.38500000000000001</v>
      </c>
      <c r="F51" s="32">
        <v>-0.66393000000000002</v>
      </c>
    </row>
    <row r="52" spans="2:11" x14ac:dyDescent="0.2">
      <c r="B52" s="10" t="s">
        <v>52</v>
      </c>
      <c r="C52" s="33">
        <v>-1.0855410000000001</v>
      </c>
      <c r="D52" s="33">
        <v>5.3024829999999996</v>
      </c>
      <c r="E52" s="33">
        <v>7.0075310000000002</v>
      </c>
      <c r="F52" s="33">
        <v>1.7902089999999999</v>
      </c>
    </row>
    <row r="53" spans="2:11" x14ac:dyDescent="0.2">
      <c r="B53" s="9"/>
      <c r="C53" s="32"/>
      <c r="D53" s="32"/>
      <c r="E53" s="32"/>
      <c r="F53" s="32"/>
    </row>
    <row r="54" spans="2:11" x14ac:dyDescent="0.2">
      <c r="B54" s="39" t="s">
        <v>53</v>
      </c>
      <c r="C54" s="40"/>
      <c r="D54" s="40"/>
      <c r="E54" s="40"/>
      <c r="F54" s="40"/>
    </row>
    <row r="55" spans="2:11" x14ac:dyDescent="0.2">
      <c r="B55" s="9" t="s">
        <v>54</v>
      </c>
      <c r="C55" s="32">
        <v>-0.73547300000000004</v>
      </c>
      <c r="D55" s="32">
        <v>-0.41903000000000001</v>
      </c>
      <c r="E55" s="32">
        <v>-0.41680400000000001</v>
      </c>
      <c r="F55" s="32">
        <v>-1.0680449999999999</v>
      </c>
    </row>
    <row r="56" spans="2:11" x14ac:dyDescent="0.2">
      <c r="B56" s="9" t="s">
        <v>55</v>
      </c>
      <c r="C56" s="32">
        <v>5.7549000000000003E-2</v>
      </c>
      <c r="D56" s="32">
        <v>2.6379E-2</v>
      </c>
      <c r="E56" s="32">
        <v>6.7212999999999995E-2</v>
      </c>
      <c r="F56" s="32">
        <v>0.10810500000000001</v>
      </c>
    </row>
    <row r="57" spans="2:11" x14ac:dyDescent="0.2">
      <c r="B57" s="9" t="s">
        <v>56</v>
      </c>
      <c r="C57" s="32">
        <v>0</v>
      </c>
      <c r="D57" s="32">
        <v>0</v>
      </c>
      <c r="E57" s="32">
        <v>-9.9999999999999995E-7</v>
      </c>
      <c r="F57" s="32" t="s">
        <v>163</v>
      </c>
    </row>
    <row r="58" spans="2:11" x14ac:dyDescent="0.2">
      <c r="B58" s="9" t="s">
        <v>57</v>
      </c>
      <c r="C58" s="32">
        <v>8.2240000000000004E-3</v>
      </c>
      <c r="D58" s="32">
        <v>1.3325E-2</v>
      </c>
      <c r="E58" s="32">
        <v>0.142487</v>
      </c>
      <c r="F58" s="32">
        <v>0.217699</v>
      </c>
    </row>
    <row r="59" spans="2:11" x14ac:dyDescent="0.2">
      <c r="B59" s="10" t="s">
        <v>58</v>
      </c>
      <c r="C59" s="33">
        <v>-0.66969999999999996</v>
      </c>
      <c r="D59" s="33">
        <v>-0.379326</v>
      </c>
      <c r="E59" s="33">
        <v>-0.20710500000000001</v>
      </c>
      <c r="F59" s="33">
        <v>-0.74224100000000004</v>
      </c>
    </row>
    <row r="60" spans="2:11" x14ac:dyDescent="0.2">
      <c r="B60" s="9"/>
      <c r="C60" s="32"/>
      <c r="D60" s="32"/>
      <c r="E60" s="32"/>
      <c r="F60" s="32"/>
    </row>
    <row r="61" spans="2:11" x14ac:dyDescent="0.2">
      <c r="B61" s="39" t="s">
        <v>59</v>
      </c>
      <c r="C61" s="40"/>
      <c r="D61" s="40"/>
      <c r="E61" s="40"/>
      <c r="F61" s="40"/>
      <c r="K61" s="4"/>
    </row>
    <row r="62" spans="2:11" x14ac:dyDescent="0.2">
      <c r="B62" s="9" t="s">
        <v>60</v>
      </c>
      <c r="C62" s="32">
        <v>0</v>
      </c>
      <c r="D62" s="32">
        <v>0</v>
      </c>
      <c r="E62" s="32">
        <v>0.54484999999999995</v>
      </c>
      <c r="F62" s="32" t="s">
        <v>163</v>
      </c>
      <c r="K62" s="2"/>
    </row>
    <row r="63" spans="2:11" x14ac:dyDescent="0.2">
      <c r="B63" s="9" t="s">
        <v>61</v>
      </c>
      <c r="C63" s="32">
        <v>-0.6</v>
      </c>
      <c r="D63" s="32">
        <v>-2.113715</v>
      </c>
      <c r="E63" s="32">
        <v>-3.4247190000000001</v>
      </c>
      <c r="F63" s="32">
        <v>-2.0714250000000001</v>
      </c>
    </row>
    <row r="64" spans="2:11" x14ac:dyDescent="0.2">
      <c r="B64" s="10" t="s">
        <v>62</v>
      </c>
      <c r="C64" s="33">
        <v>-0.6</v>
      </c>
      <c r="D64" s="33">
        <v>-2.113715</v>
      </c>
      <c r="E64" s="33">
        <v>-2.8798689999999998</v>
      </c>
      <c r="F64" s="33">
        <v>-2.0714250000000001</v>
      </c>
    </row>
    <row r="65" spans="2:6" x14ac:dyDescent="0.2">
      <c r="B65" s="9"/>
      <c r="C65" s="32"/>
      <c r="D65" s="32"/>
      <c r="E65" s="32"/>
      <c r="F65" s="32"/>
    </row>
    <row r="66" spans="2:6" x14ac:dyDescent="0.2">
      <c r="B66" s="41" t="s">
        <v>63</v>
      </c>
      <c r="C66" s="40"/>
      <c r="D66" s="40"/>
      <c r="E66" s="40"/>
      <c r="F66" s="40"/>
    </row>
    <row r="67" spans="2:6" x14ac:dyDescent="0.2">
      <c r="B67" s="10" t="s">
        <v>64</v>
      </c>
      <c r="C67" s="32">
        <v>-2.3552409999999999</v>
      </c>
      <c r="D67" s="32">
        <v>2.8094420000000002</v>
      </c>
      <c r="E67" s="32">
        <v>3.9205570000000001</v>
      </c>
      <c r="F67" s="32">
        <v>-1.0234570000000001</v>
      </c>
    </row>
    <row r="68" spans="2:6" x14ac:dyDescent="0.2">
      <c r="B68" s="9" t="s">
        <v>65</v>
      </c>
      <c r="C68" s="32">
        <v>7.4326040000000004</v>
      </c>
      <c r="D68" s="32">
        <v>5.0773630000000001</v>
      </c>
      <c r="E68" s="32">
        <v>7.8868049999999998</v>
      </c>
      <c r="F68" s="32">
        <v>11.807361999999999</v>
      </c>
    </row>
    <row r="69" spans="2:6" x14ac:dyDescent="0.2">
      <c r="B69" s="10" t="s">
        <v>66</v>
      </c>
      <c r="C69" s="33">
        <v>5.0773630000000001</v>
      </c>
      <c r="D69" s="33">
        <v>7.8868049999999998</v>
      </c>
      <c r="E69" s="33">
        <v>11.807361999999999</v>
      </c>
      <c r="F69" s="33">
        <v>10.783905000000001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73A5-3501-8C4D-BC6E-7F3F8C1CBFD6}">
  <dimension ref="B2:F105"/>
  <sheetViews>
    <sheetView topLeftCell="A58" workbookViewId="0">
      <selection activeCell="C78" sqref="C78"/>
    </sheetView>
  </sheetViews>
  <sheetFormatPr baseColWidth="10" defaultRowHeight="19" x14ac:dyDescent="0.25"/>
  <cols>
    <col min="1" max="1" width="10.83203125" style="11"/>
    <col min="2" max="2" width="39.33203125" style="11" bestFit="1" customWidth="1"/>
    <col min="3" max="3" width="5.83203125" style="11" customWidth="1"/>
    <col min="4" max="16384" width="10.83203125" style="11"/>
  </cols>
  <sheetData>
    <row r="2" spans="2:6" x14ac:dyDescent="0.25">
      <c r="B2" s="28"/>
      <c r="C2" s="29"/>
      <c r="D2" s="30" t="s">
        <v>67</v>
      </c>
      <c r="E2" s="30" t="s">
        <v>68</v>
      </c>
      <c r="F2" s="30" t="s">
        <v>69</v>
      </c>
    </row>
    <row r="3" spans="2:6" x14ac:dyDescent="0.25">
      <c r="B3" s="12"/>
      <c r="C3" s="13"/>
      <c r="D3" s="12"/>
      <c r="E3" s="12"/>
      <c r="F3" s="12"/>
    </row>
    <row r="4" spans="2:6" x14ac:dyDescent="0.25">
      <c r="B4" s="14" t="s">
        <v>70</v>
      </c>
      <c r="C4" s="15"/>
      <c r="D4" s="14"/>
      <c r="E4" s="14"/>
      <c r="F4" s="14"/>
    </row>
    <row r="5" spans="2:6" x14ac:dyDescent="0.25">
      <c r="B5" s="12" t="s">
        <v>15</v>
      </c>
      <c r="C5" s="13"/>
      <c r="D5" s="16">
        <v>4117.7</v>
      </c>
      <c r="E5" s="16">
        <v>4546.2</v>
      </c>
      <c r="F5" s="16">
        <v>5018.6000000000004</v>
      </c>
    </row>
    <row r="6" spans="2:6" x14ac:dyDescent="0.25">
      <c r="B6" s="12" t="s">
        <v>71</v>
      </c>
      <c r="C6" s="13"/>
      <c r="D6" s="17"/>
      <c r="E6" s="17">
        <f>E5/D5-1</f>
        <v>0.10406294776210023</v>
      </c>
      <c r="F6" s="17">
        <f>F5/E5-1</f>
        <v>0.10391095860278932</v>
      </c>
    </row>
    <row r="7" spans="2:6" x14ac:dyDescent="0.25">
      <c r="B7" s="12" t="s">
        <v>72</v>
      </c>
      <c r="C7" s="13"/>
      <c r="D7" s="16">
        <v>-3670.1</v>
      </c>
      <c r="E7" s="16">
        <v>-4016.3</v>
      </c>
      <c r="F7" s="16">
        <v>-4406.6000000000004</v>
      </c>
    </row>
    <row r="8" spans="2:6" x14ac:dyDescent="0.25">
      <c r="B8" s="18" t="s">
        <v>73</v>
      </c>
      <c r="C8" s="19"/>
      <c r="D8" s="20">
        <v>447.6</v>
      </c>
      <c r="E8" s="20">
        <v>529.9</v>
      </c>
      <c r="F8" s="20">
        <v>612</v>
      </c>
    </row>
    <row r="9" spans="2:6" x14ac:dyDescent="0.25">
      <c r="B9" s="12" t="s">
        <v>74</v>
      </c>
      <c r="C9" s="13"/>
      <c r="D9" s="17">
        <f t="shared" ref="D9:F9" si="0">D8/D5</f>
        <v>0.1087014595526629</v>
      </c>
      <c r="E9" s="17">
        <f t="shared" si="0"/>
        <v>0.11655888434296775</v>
      </c>
      <c r="F9" s="17">
        <f t="shared" si="0"/>
        <v>0.12194635954250188</v>
      </c>
    </row>
    <row r="10" spans="2:6" x14ac:dyDescent="0.25">
      <c r="B10" s="12" t="s">
        <v>75</v>
      </c>
      <c r="C10" s="13"/>
      <c r="D10" s="21">
        <f t="shared" ref="D10:F10" si="1">D11-D8</f>
        <v>-307</v>
      </c>
      <c r="E10" s="21">
        <f t="shared" si="1"/>
        <v>-367.9</v>
      </c>
      <c r="F10" s="21">
        <f t="shared" si="1"/>
        <v>-387.1</v>
      </c>
    </row>
    <row r="11" spans="2:6" x14ac:dyDescent="0.25">
      <c r="B11" s="18" t="s">
        <v>76</v>
      </c>
      <c r="C11" s="19"/>
      <c r="D11" s="20">
        <v>140.6</v>
      </c>
      <c r="E11" s="20">
        <v>162</v>
      </c>
      <c r="F11" s="20">
        <v>224.9</v>
      </c>
    </row>
    <row r="12" spans="2:6" x14ac:dyDescent="0.25">
      <c r="B12" s="12" t="s">
        <v>77</v>
      </c>
      <c r="C12" s="13"/>
      <c r="D12" s="17">
        <f t="shared" ref="D12:F12" si="2">D11/D5</f>
        <v>3.414527527503218E-2</v>
      </c>
      <c r="E12" s="17">
        <f t="shared" si="2"/>
        <v>3.563415599841626E-2</v>
      </c>
      <c r="F12" s="17">
        <f t="shared" si="2"/>
        <v>4.4813294544295217E-2</v>
      </c>
    </row>
    <row r="13" spans="2:6" x14ac:dyDescent="0.25">
      <c r="B13" s="12" t="s">
        <v>78</v>
      </c>
      <c r="C13" s="13"/>
      <c r="D13" s="16">
        <v>29.7</v>
      </c>
      <c r="E13" s="16">
        <v>33.6</v>
      </c>
      <c r="F13" s="16">
        <v>36.200000000000003</v>
      </c>
    </row>
    <row r="14" spans="2:6" x14ac:dyDescent="0.25">
      <c r="B14" s="18" t="s">
        <v>13</v>
      </c>
      <c r="C14" s="19"/>
      <c r="D14" s="22">
        <f t="shared" ref="D14:F14" si="3">D11+D13</f>
        <v>170.29999999999998</v>
      </c>
      <c r="E14" s="22">
        <f t="shared" si="3"/>
        <v>195.6</v>
      </c>
      <c r="F14" s="22">
        <f t="shared" si="3"/>
        <v>261.10000000000002</v>
      </c>
    </row>
    <row r="15" spans="2:6" x14ac:dyDescent="0.25">
      <c r="B15" s="12" t="s">
        <v>79</v>
      </c>
      <c r="C15" s="13"/>
      <c r="D15" s="17">
        <f t="shared" ref="D15:F15" si="4">D14/D5</f>
        <v>4.1358039682346942E-2</v>
      </c>
      <c r="E15" s="17">
        <f t="shared" si="4"/>
        <v>4.3024943909198893E-2</v>
      </c>
      <c r="F15" s="17">
        <f t="shared" si="4"/>
        <v>5.2026461562985696E-2</v>
      </c>
    </row>
    <row r="16" spans="2:6" x14ac:dyDescent="0.25">
      <c r="B16" s="12" t="s">
        <v>80</v>
      </c>
      <c r="C16" s="13"/>
      <c r="D16" s="16">
        <v>10.8</v>
      </c>
      <c r="E16" s="16">
        <v>18.2</v>
      </c>
      <c r="F16" s="16">
        <v>15.6</v>
      </c>
    </row>
    <row r="17" spans="2:6" x14ac:dyDescent="0.25">
      <c r="B17" s="12" t="s">
        <v>81</v>
      </c>
      <c r="C17" s="13"/>
      <c r="D17" s="16">
        <v>-7.5</v>
      </c>
      <c r="E17" s="16">
        <v>-8.3000000000000007</v>
      </c>
      <c r="F17" s="16">
        <v>-8.6999999999999993</v>
      </c>
    </row>
    <row r="18" spans="2:6" x14ac:dyDescent="0.25">
      <c r="B18" s="18" t="s">
        <v>82</v>
      </c>
      <c r="C18" s="19"/>
      <c r="D18" s="22">
        <f>SUM(D16:D17)</f>
        <v>3.3000000000000007</v>
      </c>
      <c r="E18" s="22">
        <f>SUM(E16:E17)</f>
        <v>9.8999999999999986</v>
      </c>
      <c r="F18" s="22">
        <f>SUM(F16:F17)</f>
        <v>6.9</v>
      </c>
    </row>
    <row r="19" spans="2:6" x14ac:dyDescent="0.25">
      <c r="B19" s="18" t="s">
        <v>83</v>
      </c>
      <c r="C19" s="19"/>
      <c r="D19" s="20">
        <v>143.9</v>
      </c>
      <c r="E19" s="20">
        <v>171.9</v>
      </c>
      <c r="F19" s="20">
        <v>231.8</v>
      </c>
    </row>
    <row r="20" spans="2:6" x14ac:dyDescent="0.25">
      <c r="B20" s="12" t="s">
        <v>23</v>
      </c>
      <c r="C20" s="13"/>
      <c r="D20" s="16">
        <v>-26.2</v>
      </c>
      <c r="E20" s="16">
        <v>-40.200000000000003</v>
      </c>
      <c r="F20" s="16">
        <v>-56.9</v>
      </c>
    </row>
    <row r="21" spans="2:6" x14ac:dyDescent="0.25">
      <c r="B21" s="12" t="s">
        <v>84</v>
      </c>
      <c r="C21" s="13"/>
      <c r="D21" s="17">
        <f t="shared" ref="D21:F21" si="5">-D20/D19</f>
        <v>0.18207088255733148</v>
      </c>
      <c r="E21" s="17">
        <f t="shared" si="5"/>
        <v>0.23385689354275743</v>
      </c>
      <c r="F21" s="17">
        <f t="shared" si="5"/>
        <v>0.24547023295944778</v>
      </c>
    </row>
    <row r="22" spans="2:6" x14ac:dyDescent="0.25">
      <c r="B22" s="18" t="s">
        <v>85</v>
      </c>
      <c r="C22" s="19"/>
      <c r="D22" s="20">
        <v>117.7</v>
      </c>
      <c r="E22" s="20">
        <v>131.69999999999999</v>
      </c>
      <c r="F22" s="20">
        <v>174.9</v>
      </c>
    </row>
    <row r="23" spans="2:6" x14ac:dyDescent="0.25">
      <c r="B23" s="12"/>
      <c r="C23" s="13"/>
      <c r="D23" s="12"/>
      <c r="E23" s="12"/>
      <c r="F23" s="12"/>
    </row>
    <row r="24" spans="2:6" x14ac:dyDescent="0.25">
      <c r="B24" s="12"/>
      <c r="C24" s="13"/>
      <c r="D24" s="12"/>
      <c r="E24" s="12"/>
      <c r="F24" s="12"/>
    </row>
    <row r="25" spans="2:6" x14ac:dyDescent="0.25">
      <c r="B25" s="14" t="s">
        <v>86</v>
      </c>
      <c r="C25" s="15"/>
      <c r="D25" s="14"/>
      <c r="E25" s="14"/>
      <c r="F25" s="14"/>
    </row>
    <row r="26" spans="2:6" x14ac:dyDescent="0.25">
      <c r="B26" s="12" t="s">
        <v>87</v>
      </c>
      <c r="C26" s="13"/>
      <c r="D26" s="16">
        <v>140.6</v>
      </c>
      <c r="E26" s="16">
        <v>162</v>
      </c>
      <c r="F26" s="16">
        <v>224.9</v>
      </c>
    </row>
    <row r="27" spans="2:6" x14ac:dyDescent="0.25">
      <c r="B27" s="12" t="s">
        <v>78</v>
      </c>
      <c r="C27" s="13"/>
      <c r="D27" s="16">
        <v>29.7</v>
      </c>
      <c r="E27" s="16">
        <v>33.6</v>
      </c>
      <c r="F27" s="16">
        <v>36.200000000000003</v>
      </c>
    </row>
    <row r="28" spans="2:6" x14ac:dyDescent="0.25">
      <c r="B28" s="12" t="s">
        <v>88</v>
      </c>
      <c r="C28" s="13"/>
      <c r="D28" s="16">
        <v>-14.1</v>
      </c>
      <c r="E28" s="16">
        <v>-4.5999999999999996</v>
      </c>
      <c r="F28" s="16">
        <v>-0.3</v>
      </c>
    </row>
    <row r="29" spans="2:6" x14ac:dyDescent="0.25">
      <c r="B29" s="12" t="s">
        <v>89</v>
      </c>
      <c r="C29" s="13"/>
      <c r="D29" s="16">
        <v>6.6</v>
      </c>
      <c r="E29" s="16">
        <v>10.5</v>
      </c>
      <c r="F29" s="16">
        <v>10.8</v>
      </c>
    </row>
    <row r="30" spans="2:6" x14ac:dyDescent="0.25">
      <c r="B30" s="12" t="s">
        <v>90</v>
      </c>
      <c r="C30" s="13"/>
      <c r="D30" s="16">
        <v>15.2</v>
      </c>
      <c r="E30" s="16">
        <v>5</v>
      </c>
      <c r="F30" s="16">
        <v>-15</v>
      </c>
    </row>
    <row r="31" spans="2:6" x14ac:dyDescent="0.25">
      <c r="B31" s="18" t="s">
        <v>91</v>
      </c>
      <c r="C31" s="19"/>
      <c r="D31" s="20">
        <v>178</v>
      </c>
      <c r="E31" s="20">
        <v>206.5</v>
      </c>
      <c r="F31" s="20">
        <v>256.60000000000002</v>
      </c>
    </row>
    <row r="32" spans="2:6" x14ac:dyDescent="0.25">
      <c r="B32" s="12" t="s">
        <v>92</v>
      </c>
      <c r="C32" s="13"/>
      <c r="D32" s="16">
        <v>-10.8</v>
      </c>
      <c r="E32" s="16">
        <v>-131.30000000000001</v>
      </c>
      <c r="F32" s="16">
        <v>-127.3</v>
      </c>
    </row>
    <row r="33" spans="2:6" x14ac:dyDescent="0.25">
      <c r="B33" s="12" t="s">
        <v>93</v>
      </c>
      <c r="C33" s="13"/>
      <c r="D33" s="16">
        <v>24</v>
      </c>
      <c r="E33" s="16">
        <v>46</v>
      </c>
      <c r="F33" s="16">
        <v>-11.2</v>
      </c>
    </row>
    <row r="34" spans="2:6" x14ac:dyDescent="0.25">
      <c r="B34" s="12" t="s">
        <v>94</v>
      </c>
      <c r="C34" s="13"/>
      <c r="D34" s="16">
        <v>-107.8</v>
      </c>
      <c r="E34" s="16">
        <v>7.8</v>
      </c>
      <c r="F34" s="16">
        <v>-100.1</v>
      </c>
    </row>
    <row r="35" spans="2:6" x14ac:dyDescent="0.25">
      <c r="B35" s="12" t="s">
        <v>95</v>
      </c>
      <c r="C35" s="13"/>
      <c r="D35" s="16">
        <v>21.6</v>
      </c>
      <c r="E35" s="16">
        <v>14.6</v>
      </c>
      <c r="F35" s="16">
        <v>8.3000000000000007</v>
      </c>
    </row>
    <row r="36" spans="2:6" x14ac:dyDescent="0.25">
      <c r="B36" s="12" t="s">
        <v>96</v>
      </c>
      <c r="C36" s="13"/>
      <c r="D36" s="16">
        <v>116.2</v>
      </c>
      <c r="E36" s="16">
        <v>29.1</v>
      </c>
      <c r="F36" s="16">
        <v>209.3</v>
      </c>
    </row>
    <row r="37" spans="2:6" x14ac:dyDescent="0.25">
      <c r="B37" s="18" t="s">
        <v>97</v>
      </c>
      <c r="C37" s="19"/>
      <c r="D37" s="20">
        <v>43.2</v>
      </c>
      <c r="E37" s="20">
        <v>-33.799999999999997</v>
      </c>
      <c r="F37" s="20">
        <v>-21</v>
      </c>
    </row>
    <row r="38" spans="2:6" x14ac:dyDescent="0.25">
      <c r="B38" s="18" t="s">
        <v>98</v>
      </c>
      <c r="C38" s="19"/>
      <c r="D38" s="20">
        <v>221.2</v>
      </c>
      <c r="E38" s="20">
        <v>172.7</v>
      </c>
      <c r="F38" s="20">
        <v>235.6</v>
      </c>
    </row>
    <row r="39" spans="2:6" x14ac:dyDescent="0.25">
      <c r="B39" s="12" t="s">
        <v>99</v>
      </c>
      <c r="C39" s="13"/>
      <c r="D39" s="16">
        <v>-25.2</v>
      </c>
      <c r="E39" s="16">
        <v>-43.9</v>
      </c>
      <c r="F39" s="16">
        <v>-48.3</v>
      </c>
    </row>
    <row r="40" spans="2:6" x14ac:dyDescent="0.25">
      <c r="B40" s="18" t="s">
        <v>100</v>
      </c>
      <c r="C40" s="19"/>
      <c r="D40" s="20">
        <v>196</v>
      </c>
      <c r="E40" s="20">
        <v>128.80000000000001</v>
      </c>
      <c r="F40" s="20">
        <v>187.3</v>
      </c>
    </row>
    <row r="41" spans="2:6" x14ac:dyDescent="0.25">
      <c r="B41" s="23" t="s">
        <v>53</v>
      </c>
      <c r="C41" s="24"/>
      <c r="D41" s="23"/>
      <c r="E41" s="23"/>
      <c r="F41" s="23"/>
    </row>
    <row r="42" spans="2:6" x14ac:dyDescent="0.25">
      <c r="B42" s="12" t="s">
        <v>57</v>
      </c>
      <c r="C42" s="13"/>
      <c r="D42" s="16">
        <v>10</v>
      </c>
      <c r="E42" s="16">
        <v>18</v>
      </c>
      <c r="F42" s="16">
        <v>15.9</v>
      </c>
    </row>
    <row r="43" spans="2:6" x14ac:dyDescent="0.25">
      <c r="B43" s="12" t="s">
        <v>101</v>
      </c>
      <c r="C43" s="13"/>
      <c r="D43" s="16">
        <v>1.6</v>
      </c>
      <c r="E43" s="16">
        <v>4.2</v>
      </c>
      <c r="F43" s="16">
        <v>4.7</v>
      </c>
    </row>
    <row r="44" spans="2:6" x14ac:dyDescent="0.25">
      <c r="B44" s="12" t="s">
        <v>102</v>
      </c>
      <c r="C44" s="13"/>
      <c r="D44" s="16">
        <v>2</v>
      </c>
      <c r="E44" s="16">
        <v>1.9</v>
      </c>
      <c r="F44" s="16">
        <v>0.5</v>
      </c>
    </row>
    <row r="45" spans="2:6" x14ac:dyDescent="0.25">
      <c r="B45" s="12" t="s">
        <v>103</v>
      </c>
      <c r="C45" s="13"/>
      <c r="D45" s="16">
        <v>-14.3</v>
      </c>
      <c r="E45" s="16">
        <v>-18.2</v>
      </c>
      <c r="F45" s="16">
        <v>-16</v>
      </c>
    </row>
    <row r="46" spans="2:6" x14ac:dyDescent="0.25">
      <c r="B46" s="12" t="s">
        <v>104</v>
      </c>
      <c r="C46" s="13"/>
      <c r="D46" s="16">
        <v>-0.3</v>
      </c>
      <c r="E46" s="16">
        <v>0</v>
      </c>
      <c r="F46" s="16">
        <v>-0.6</v>
      </c>
    </row>
    <row r="47" spans="2:6" x14ac:dyDescent="0.25">
      <c r="B47" s="12" t="s">
        <v>105</v>
      </c>
      <c r="C47" s="13"/>
      <c r="D47" s="16">
        <v>-44.2</v>
      </c>
      <c r="E47" s="16">
        <v>-29.1</v>
      </c>
      <c r="F47" s="16">
        <v>-66.3</v>
      </c>
    </row>
    <row r="48" spans="2:6" x14ac:dyDescent="0.25">
      <c r="B48" s="12" t="s">
        <v>106</v>
      </c>
      <c r="C48" s="13"/>
      <c r="D48" s="16">
        <v>34.200000000000003</v>
      </c>
      <c r="E48" s="16">
        <v>27.9</v>
      </c>
      <c r="F48" s="16">
        <v>37.6</v>
      </c>
    </row>
    <row r="49" spans="2:6" x14ac:dyDescent="0.25">
      <c r="B49" s="18" t="s">
        <v>107</v>
      </c>
      <c r="C49" s="19"/>
      <c r="D49" s="20">
        <v>-11</v>
      </c>
      <c r="E49" s="20">
        <v>4.7</v>
      </c>
      <c r="F49" s="20">
        <v>-24.2</v>
      </c>
    </row>
    <row r="50" spans="2:6" x14ac:dyDescent="0.25">
      <c r="B50" s="23" t="s">
        <v>59</v>
      </c>
      <c r="C50" s="24"/>
      <c r="D50" s="23"/>
      <c r="E50" s="23"/>
      <c r="F50" s="23"/>
    </row>
    <row r="51" spans="2:6" x14ac:dyDescent="0.25">
      <c r="B51" s="12" t="s">
        <v>50</v>
      </c>
      <c r="C51" s="13"/>
      <c r="D51" s="16">
        <v>-2.4</v>
      </c>
      <c r="E51" s="16">
        <v>-1.9</v>
      </c>
      <c r="F51" s="16">
        <v>-2</v>
      </c>
    </row>
    <row r="52" spans="2:6" x14ac:dyDescent="0.25">
      <c r="B52" s="12" t="s">
        <v>108</v>
      </c>
      <c r="C52" s="13"/>
      <c r="D52" s="16">
        <v>-48.1</v>
      </c>
      <c r="E52" s="16">
        <v>-56.1</v>
      </c>
      <c r="F52" s="16">
        <v>-65.8</v>
      </c>
    </row>
    <row r="53" spans="2:6" x14ac:dyDescent="0.25">
      <c r="B53" s="12" t="s">
        <v>109</v>
      </c>
      <c r="C53" s="13"/>
      <c r="D53" s="16">
        <v>-21.2</v>
      </c>
      <c r="E53" s="16">
        <v>-25.8</v>
      </c>
      <c r="F53" s="16">
        <v>-28.3</v>
      </c>
    </row>
    <row r="54" spans="2:6" x14ac:dyDescent="0.25">
      <c r="B54" s="12" t="s">
        <v>110</v>
      </c>
      <c r="C54" s="13"/>
      <c r="D54" s="16">
        <v>0.1</v>
      </c>
      <c r="E54" s="16">
        <v>9.6999999999999993</v>
      </c>
      <c r="F54" s="16">
        <v>0.2</v>
      </c>
    </row>
    <row r="55" spans="2:6" x14ac:dyDescent="0.25">
      <c r="B55" s="12" t="s">
        <v>111</v>
      </c>
      <c r="C55" s="13"/>
      <c r="D55" s="16">
        <v>-11.3</v>
      </c>
      <c r="E55" s="16">
        <v>-47.2</v>
      </c>
      <c r="F55" s="16">
        <v>-40.700000000000003</v>
      </c>
    </row>
    <row r="56" spans="2:6" x14ac:dyDescent="0.25">
      <c r="B56" s="12" t="s">
        <v>112</v>
      </c>
      <c r="C56" s="13"/>
      <c r="D56" s="16">
        <v>4</v>
      </c>
      <c r="E56" s="16">
        <v>19.5</v>
      </c>
      <c r="F56" s="16">
        <v>12.3</v>
      </c>
    </row>
    <row r="57" spans="2:6" x14ac:dyDescent="0.25">
      <c r="B57" s="18" t="s">
        <v>113</v>
      </c>
      <c r="C57" s="19"/>
      <c r="D57" s="20">
        <v>-78.900000000000006</v>
      </c>
      <c r="E57" s="20">
        <v>-101.8</v>
      </c>
      <c r="F57" s="20">
        <v>-124.3</v>
      </c>
    </row>
    <row r="58" spans="2:6" x14ac:dyDescent="0.25">
      <c r="B58" s="12"/>
      <c r="C58" s="13"/>
      <c r="D58" s="16"/>
      <c r="E58" s="16"/>
      <c r="F58" s="16"/>
    </row>
    <row r="59" spans="2:6" x14ac:dyDescent="0.25">
      <c r="B59" s="18" t="s">
        <v>114</v>
      </c>
      <c r="C59" s="19"/>
      <c r="D59" s="20">
        <v>106.1</v>
      </c>
      <c r="E59" s="20">
        <v>31.7</v>
      </c>
      <c r="F59" s="20">
        <v>38.799999999999997</v>
      </c>
    </row>
    <row r="60" spans="2:6" x14ac:dyDescent="0.25">
      <c r="B60" s="12" t="s">
        <v>115</v>
      </c>
      <c r="C60" s="13"/>
      <c r="D60" s="16">
        <v>354.6</v>
      </c>
      <c r="E60" s="16">
        <v>460.7</v>
      </c>
      <c r="F60" s="16">
        <v>492.4</v>
      </c>
    </row>
    <row r="61" spans="2:6" x14ac:dyDescent="0.25">
      <c r="B61" s="18" t="s">
        <v>116</v>
      </c>
      <c r="C61" s="19"/>
      <c r="D61" s="20">
        <v>460.7</v>
      </c>
      <c r="E61" s="20">
        <v>492.4</v>
      </c>
      <c r="F61" s="20">
        <v>531.20000000000005</v>
      </c>
    </row>
    <row r="62" spans="2:6" x14ac:dyDescent="0.25">
      <c r="B62" s="12"/>
      <c r="C62" s="13"/>
      <c r="D62" s="12"/>
      <c r="E62" s="12"/>
      <c r="F62" s="12"/>
    </row>
    <row r="63" spans="2:6" x14ac:dyDescent="0.25">
      <c r="B63" s="12"/>
      <c r="C63" s="13"/>
      <c r="D63" s="12"/>
      <c r="E63" s="12"/>
      <c r="F63" s="12"/>
    </row>
    <row r="64" spans="2:6" x14ac:dyDescent="0.25">
      <c r="B64" s="14" t="s">
        <v>117</v>
      </c>
      <c r="C64" s="15"/>
      <c r="D64" s="14"/>
      <c r="E64" s="14"/>
      <c r="F64" s="14"/>
    </row>
    <row r="65" spans="2:6" x14ac:dyDescent="0.25">
      <c r="B65" s="12"/>
      <c r="C65" s="13"/>
      <c r="D65" s="12"/>
      <c r="E65" s="12"/>
      <c r="F65" s="12"/>
    </row>
    <row r="66" spans="2:6" x14ac:dyDescent="0.25">
      <c r="B66" s="23" t="s">
        <v>118</v>
      </c>
      <c r="C66" s="25"/>
      <c r="D66" s="23"/>
      <c r="E66" s="23"/>
      <c r="F66" s="23"/>
    </row>
    <row r="67" spans="2:6" x14ac:dyDescent="0.25">
      <c r="B67" s="12" t="s">
        <v>119</v>
      </c>
      <c r="C67" s="13"/>
      <c r="D67" s="16">
        <v>218.6</v>
      </c>
      <c r="E67" s="16">
        <v>218.1</v>
      </c>
      <c r="F67" s="16">
        <v>218.3</v>
      </c>
    </row>
    <row r="68" spans="2:6" x14ac:dyDescent="0.25">
      <c r="B68" s="12" t="s">
        <v>120</v>
      </c>
      <c r="C68" s="13"/>
      <c r="D68" s="16">
        <v>86</v>
      </c>
      <c r="E68" s="16">
        <v>95.1</v>
      </c>
      <c r="F68" s="16">
        <v>102.2</v>
      </c>
    </row>
    <row r="69" spans="2:6" x14ac:dyDescent="0.25">
      <c r="B69" s="12" t="s">
        <v>121</v>
      </c>
      <c r="C69" s="13"/>
      <c r="D69" s="16">
        <v>0.8</v>
      </c>
      <c r="E69" s="16">
        <v>0.6</v>
      </c>
      <c r="F69" s="16">
        <v>0</v>
      </c>
    </row>
    <row r="70" spans="2:6" x14ac:dyDescent="0.25">
      <c r="B70" s="12" t="s">
        <v>122</v>
      </c>
      <c r="C70" s="13"/>
      <c r="D70" s="16">
        <v>106.6</v>
      </c>
      <c r="E70" s="16">
        <v>111.9</v>
      </c>
      <c r="F70" s="16">
        <v>132.69999999999999</v>
      </c>
    </row>
    <row r="71" spans="2:6" x14ac:dyDescent="0.25">
      <c r="B71" s="12" t="s">
        <v>123</v>
      </c>
      <c r="C71" s="13"/>
      <c r="D71" s="16">
        <v>0</v>
      </c>
      <c r="E71" s="16">
        <v>0</v>
      </c>
      <c r="F71" s="16">
        <v>4.2</v>
      </c>
    </row>
    <row r="72" spans="2:6" x14ac:dyDescent="0.25">
      <c r="B72" s="18" t="s">
        <v>124</v>
      </c>
      <c r="C72" s="19"/>
      <c r="D72" s="22">
        <f t="shared" ref="D72:F72" si="6">SUM(D67:D71)</f>
        <v>412</v>
      </c>
      <c r="E72" s="22">
        <f t="shared" si="6"/>
        <v>425.70000000000005</v>
      </c>
      <c r="F72" s="22">
        <f t="shared" si="6"/>
        <v>457.4</v>
      </c>
    </row>
    <row r="73" spans="2:6" x14ac:dyDescent="0.25">
      <c r="B73" s="12"/>
      <c r="C73" s="13"/>
      <c r="D73" s="26"/>
      <c r="E73" s="26"/>
      <c r="F73" s="26"/>
    </row>
    <row r="74" spans="2:6" x14ac:dyDescent="0.25">
      <c r="B74" s="12" t="s">
        <v>125</v>
      </c>
      <c r="C74" s="13"/>
      <c r="D74" s="16">
        <v>344.7</v>
      </c>
      <c r="E74" s="16">
        <v>476</v>
      </c>
      <c r="F74" s="16">
        <v>603.29999999999995</v>
      </c>
    </row>
    <row r="75" spans="2:6" x14ac:dyDescent="0.25">
      <c r="B75" s="12" t="s">
        <v>126</v>
      </c>
      <c r="C75" s="13"/>
      <c r="D75" s="16">
        <v>270.60000000000002</v>
      </c>
      <c r="E75" s="16">
        <v>224.6</v>
      </c>
      <c r="F75" s="16">
        <v>235.8</v>
      </c>
    </row>
    <row r="76" spans="2:6" x14ac:dyDescent="0.25">
      <c r="B76" s="12" t="s">
        <v>127</v>
      </c>
      <c r="C76" s="13"/>
      <c r="D76" s="16">
        <v>461.6</v>
      </c>
      <c r="E76" s="16">
        <v>453.5</v>
      </c>
      <c r="F76" s="16">
        <v>553.4</v>
      </c>
    </row>
    <row r="77" spans="2:6" x14ac:dyDescent="0.25">
      <c r="B77" s="12" t="s">
        <v>128</v>
      </c>
      <c r="C77" s="13"/>
      <c r="D77" s="16">
        <v>-1.9</v>
      </c>
      <c r="E77" s="16">
        <v>6.6</v>
      </c>
      <c r="F77" s="16">
        <v>1.3</v>
      </c>
    </row>
    <row r="78" spans="2:6" x14ac:dyDescent="0.25">
      <c r="B78" s="12" t="s">
        <v>129</v>
      </c>
      <c r="C78" s="13" t="s">
        <v>130</v>
      </c>
      <c r="D78" s="16">
        <v>541.29999999999995</v>
      </c>
      <c r="E78" s="16">
        <v>544.20000000000005</v>
      </c>
      <c r="F78" s="16">
        <v>590.5</v>
      </c>
    </row>
    <row r="79" spans="2:6" x14ac:dyDescent="0.25">
      <c r="B79" s="12" t="s">
        <v>131</v>
      </c>
      <c r="C79" s="13"/>
      <c r="D79" s="16">
        <v>0</v>
      </c>
      <c r="E79" s="16">
        <v>0</v>
      </c>
      <c r="F79" s="16">
        <v>6.6</v>
      </c>
    </row>
    <row r="80" spans="2:6" x14ac:dyDescent="0.25">
      <c r="B80" s="18" t="s">
        <v>33</v>
      </c>
      <c r="C80" s="19"/>
      <c r="D80" s="22">
        <f t="shared" ref="D80:F80" si="7">SUM(D74:D79)</f>
        <v>1616.3</v>
      </c>
      <c r="E80" s="22">
        <f t="shared" si="7"/>
        <v>1704.8999999999999</v>
      </c>
      <c r="F80" s="22">
        <f t="shared" si="7"/>
        <v>1990.8999999999999</v>
      </c>
    </row>
    <row r="81" spans="2:6" x14ac:dyDescent="0.25">
      <c r="B81" s="18" t="s">
        <v>132</v>
      </c>
      <c r="C81" s="19"/>
      <c r="D81" s="22">
        <f t="shared" ref="D81:F81" si="8">D72+D80</f>
        <v>2028.3</v>
      </c>
      <c r="E81" s="22">
        <f t="shared" si="8"/>
        <v>2130.6</v>
      </c>
      <c r="F81" s="22">
        <f t="shared" si="8"/>
        <v>2448.2999999999997</v>
      </c>
    </row>
    <row r="82" spans="2:6" x14ac:dyDescent="0.25">
      <c r="B82" s="12"/>
      <c r="C82" s="13"/>
      <c r="D82" s="26"/>
      <c r="E82" s="26"/>
      <c r="F82" s="26"/>
    </row>
    <row r="83" spans="2:6" x14ac:dyDescent="0.25">
      <c r="B83" s="23" t="s">
        <v>133</v>
      </c>
      <c r="C83" s="25"/>
      <c r="D83" s="27"/>
      <c r="E83" s="27"/>
      <c r="F83" s="27"/>
    </row>
    <row r="84" spans="2:6" x14ac:dyDescent="0.25">
      <c r="B84" s="12" t="s">
        <v>134</v>
      </c>
      <c r="C84" s="13"/>
      <c r="D84" s="16">
        <v>95.8</v>
      </c>
      <c r="E84" s="16">
        <v>110.4</v>
      </c>
      <c r="F84" s="16">
        <v>118.7</v>
      </c>
    </row>
    <row r="85" spans="2:6" x14ac:dyDescent="0.25">
      <c r="B85" s="12" t="s">
        <v>135</v>
      </c>
      <c r="C85" s="13"/>
      <c r="D85" s="16">
        <v>1087</v>
      </c>
      <c r="E85" s="16">
        <v>1130.3</v>
      </c>
      <c r="F85" s="16">
        <v>1343.6</v>
      </c>
    </row>
    <row r="86" spans="2:6" x14ac:dyDescent="0.25">
      <c r="B86" s="12" t="s">
        <v>136</v>
      </c>
      <c r="C86" s="13"/>
      <c r="D86" s="16">
        <v>19.100000000000001</v>
      </c>
      <c r="E86" s="16">
        <v>22.6</v>
      </c>
      <c r="F86" s="16">
        <v>24.8</v>
      </c>
    </row>
    <row r="87" spans="2:6" x14ac:dyDescent="0.25">
      <c r="B87" s="12" t="s">
        <v>137</v>
      </c>
      <c r="C87" s="13"/>
      <c r="D87" s="16">
        <v>80.599999999999994</v>
      </c>
      <c r="E87" s="16">
        <v>51.8</v>
      </c>
      <c r="F87" s="16">
        <v>59.3</v>
      </c>
    </row>
    <row r="88" spans="2:6" x14ac:dyDescent="0.25">
      <c r="B88" s="12" t="s">
        <v>138</v>
      </c>
      <c r="C88" s="13"/>
      <c r="D88" s="16">
        <v>76.7</v>
      </c>
      <c r="E88" s="16">
        <v>85.1</v>
      </c>
      <c r="F88" s="16">
        <v>71.7</v>
      </c>
    </row>
    <row r="89" spans="2:6" x14ac:dyDescent="0.25">
      <c r="B89" s="18" t="s">
        <v>139</v>
      </c>
      <c r="C89" s="19"/>
      <c r="D89" s="22">
        <f t="shared" ref="D89:F89" si="9">SUM(D84:D88)</f>
        <v>1359.1999999999998</v>
      </c>
      <c r="E89" s="22">
        <f t="shared" si="9"/>
        <v>1400.1999999999998</v>
      </c>
      <c r="F89" s="22">
        <f t="shared" si="9"/>
        <v>1618.1</v>
      </c>
    </row>
    <row r="90" spans="2:6" x14ac:dyDescent="0.25">
      <c r="B90" s="12"/>
      <c r="C90" s="13"/>
      <c r="D90" s="26"/>
      <c r="E90" s="26"/>
      <c r="F90" s="26"/>
    </row>
    <row r="91" spans="2:6" x14ac:dyDescent="0.25">
      <c r="B91" s="12" t="s">
        <v>140</v>
      </c>
      <c r="C91" s="13"/>
      <c r="D91" s="16">
        <v>28.2</v>
      </c>
      <c r="E91" s="16">
        <v>16.600000000000001</v>
      </c>
      <c r="F91" s="16">
        <v>14.9</v>
      </c>
    </row>
    <row r="92" spans="2:6" x14ac:dyDescent="0.25">
      <c r="B92" s="12" t="s">
        <v>141</v>
      </c>
      <c r="C92" s="13"/>
      <c r="D92" s="16">
        <v>44.7</v>
      </c>
      <c r="E92" s="16">
        <v>44.1</v>
      </c>
      <c r="F92" s="16">
        <v>48.8</v>
      </c>
    </row>
    <row r="93" spans="2:6" x14ac:dyDescent="0.25">
      <c r="B93" s="12" t="s">
        <v>142</v>
      </c>
      <c r="C93" s="13"/>
      <c r="D93" s="16">
        <v>8.6999999999999993</v>
      </c>
      <c r="E93" s="16">
        <v>2.1</v>
      </c>
      <c r="F93" s="16">
        <v>0</v>
      </c>
    </row>
    <row r="94" spans="2:6" x14ac:dyDescent="0.25">
      <c r="B94" s="12" t="s">
        <v>143</v>
      </c>
      <c r="C94" s="13"/>
      <c r="D94" s="16">
        <v>19.399999999999999</v>
      </c>
      <c r="E94" s="16">
        <v>20.399999999999999</v>
      </c>
      <c r="F94" s="16">
        <v>17.7</v>
      </c>
    </row>
    <row r="95" spans="2:6" x14ac:dyDescent="0.25">
      <c r="B95" s="18" t="s">
        <v>144</v>
      </c>
      <c r="C95" s="19"/>
      <c r="D95" s="22">
        <f t="shared" ref="D95:F95" si="10">SUM(D91:D94)</f>
        <v>101</v>
      </c>
      <c r="E95" s="22">
        <f t="shared" si="10"/>
        <v>83.2</v>
      </c>
      <c r="F95" s="22">
        <f t="shared" si="10"/>
        <v>81.399999999999991</v>
      </c>
    </row>
    <row r="96" spans="2:6" x14ac:dyDescent="0.25">
      <c r="B96" s="18" t="s">
        <v>145</v>
      </c>
      <c r="C96" s="19"/>
      <c r="D96" s="22">
        <f t="shared" ref="D96:F96" si="11">D89+D95</f>
        <v>1460.1999999999998</v>
      </c>
      <c r="E96" s="22">
        <f t="shared" si="11"/>
        <v>1483.3999999999999</v>
      </c>
      <c r="F96" s="22">
        <f t="shared" si="11"/>
        <v>1699.5</v>
      </c>
    </row>
    <row r="97" spans="2:6" x14ac:dyDescent="0.25">
      <c r="B97" s="12"/>
      <c r="C97" s="13"/>
      <c r="D97" s="26"/>
      <c r="E97" s="26"/>
      <c r="F97" s="26"/>
    </row>
    <row r="98" spans="2:6" x14ac:dyDescent="0.25">
      <c r="B98" s="23" t="s">
        <v>146</v>
      </c>
      <c r="C98" s="25"/>
      <c r="D98" s="27"/>
      <c r="E98" s="27"/>
      <c r="F98" s="27"/>
    </row>
    <row r="99" spans="2:6" x14ac:dyDescent="0.25">
      <c r="B99" s="12" t="s">
        <v>147</v>
      </c>
      <c r="C99" s="13"/>
      <c r="D99" s="16">
        <v>2.4</v>
      </c>
      <c r="E99" s="16">
        <v>2.4</v>
      </c>
      <c r="F99" s="16">
        <v>2.4</v>
      </c>
    </row>
    <row r="100" spans="2:6" x14ac:dyDescent="0.25">
      <c r="B100" s="12" t="s">
        <v>148</v>
      </c>
      <c r="C100" s="13"/>
      <c r="D100" s="16">
        <v>56</v>
      </c>
      <c r="E100" s="16">
        <v>65.7</v>
      </c>
      <c r="F100" s="16">
        <v>65.900000000000006</v>
      </c>
    </row>
    <row r="101" spans="2:6" x14ac:dyDescent="0.25">
      <c r="B101" s="12" t="s">
        <v>149</v>
      </c>
      <c r="C101" s="13"/>
      <c r="D101" s="16">
        <v>1.3</v>
      </c>
      <c r="E101" s="16">
        <v>0.9</v>
      </c>
      <c r="F101" s="16">
        <v>1.2</v>
      </c>
    </row>
    <row r="102" spans="2:6" x14ac:dyDescent="0.25">
      <c r="B102" s="12" t="s">
        <v>150</v>
      </c>
      <c r="C102" s="13"/>
      <c r="D102" s="16">
        <v>508.4</v>
      </c>
      <c r="E102" s="16">
        <v>578.20000000000005</v>
      </c>
      <c r="F102" s="16">
        <v>679.3</v>
      </c>
    </row>
    <row r="103" spans="2:6" x14ac:dyDescent="0.25">
      <c r="B103" s="18" t="s">
        <v>47</v>
      </c>
      <c r="C103" s="19"/>
      <c r="D103" s="22">
        <f t="shared" ref="D103:F103" si="12">SUM(D99:D102)</f>
        <v>568.1</v>
      </c>
      <c r="E103" s="22">
        <f t="shared" si="12"/>
        <v>647.20000000000005</v>
      </c>
      <c r="F103" s="22">
        <f t="shared" si="12"/>
        <v>748.8</v>
      </c>
    </row>
    <row r="104" spans="2:6" x14ac:dyDescent="0.25">
      <c r="B104" s="18" t="s">
        <v>151</v>
      </c>
      <c r="C104" s="19"/>
      <c r="D104" s="22">
        <f t="shared" ref="D104:F104" si="13">D96+D103</f>
        <v>2028.2999999999997</v>
      </c>
      <c r="E104" s="22">
        <f t="shared" si="13"/>
        <v>2130.6</v>
      </c>
      <c r="F104" s="22">
        <f t="shared" si="13"/>
        <v>2448.3000000000002</v>
      </c>
    </row>
    <row r="105" spans="2:6" x14ac:dyDescent="0.25">
      <c r="B105" s="18" t="s">
        <v>152</v>
      </c>
      <c r="C105" s="19"/>
      <c r="D105" s="22">
        <f t="shared" ref="D105:F105" si="14">D81-D104</f>
        <v>0</v>
      </c>
      <c r="E105" s="22">
        <f t="shared" si="14"/>
        <v>0</v>
      </c>
      <c r="F105" s="22">
        <f t="shared" si="14"/>
        <v>0</v>
      </c>
    </row>
  </sheetData>
  <mergeCells count="3">
    <mergeCell ref="B4:F4"/>
    <mergeCell ref="B25:F25"/>
    <mergeCell ref="B64:F64"/>
  </mergeCells>
  <conditionalFormatting sqref="D105:F105">
    <cfRule type="expression" dxfId="1" priority="1">
      <formula>ABS(D105)&gt;0.1</formula>
    </cfRule>
    <cfRule type="expression" dxfId="0" priority="2">
      <formula>ABS(D105)&lt;=0.1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6A4A-E82C-8941-BDA5-6A0E595399CB}">
  <dimension ref="B3:B12"/>
  <sheetViews>
    <sheetView workbookViewId="0">
      <selection activeCell="C3" sqref="C3"/>
    </sheetView>
  </sheetViews>
  <sheetFormatPr baseColWidth="10" defaultRowHeight="16" x14ac:dyDescent="0.2"/>
  <sheetData>
    <row r="3" spans="2:2" x14ac:dyDescent="0.2">
      <c r="B3" t="s">
        <v>153</v>
      </c>
    </row>
    <row r="6" spans="2:2" x14ac:dyDescent="0.2">
      <c r="B6" t="s">
        <v>154</v>
      </c>
    </row>
    <row r="7" spans="2:2" x14ac:dyDescent="0.2">
      <c r="B7" t="s">
        <v>155</v>
      </c>
    </row>
    <row r="8" spans="2:2" x14ac:dyDescent="0.2">
      <c r="B8" t="s">
        <v>156</v>
      </c>
    </row>
    <row r="9" spans="2:2" x14ac:dyDescent="0.2">
      <c r="B9" t="s">
        <v>157</v>
      </c>
    </row>
    <row r="10" spans="2:2" x14ac:dyDescent="0.2">
      <c r="B10" t="s">
        <v>158</v>
      </c>
    </row>
    <row r="11" spans="2:2" x14ac:dyDescent="0.2">
      <c r="B11" t="s">
        <v>159</v>
      </c>
    </row>
    <row r="12" spans="2:2" x14ac:dyDescent="0.2">
      <c r="B1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M&amp;A</vt:lpstr>
      <vt:lpstr>Cost Synergy</vt:lpstr>
      <vt:lpstr>Revenue Synergy</vt:lpstr>
      <vt:lpstr>Powersystems </vt:lpstr>
      <vt:lpstr>Morgan Sindall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M</dc:creator>
  <cp:lastModifiedBy>Ibrahim M</cp:lastModifiedBy>
  <dcterms:created xsi:type="dcterms:W3CDTF">2026-09-08T11:12:02Z</dcterms:created>
  <dcterms:modified xsi:type="dcterms:W3CDTF">2026-09-12T10:32:39Z</dcterms:modified>
</cp:coreProperties>
</file>