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mc:AlternateContent xmlns:mc="http://schemas.openxmlformats.org/markup-compatibility/2006">
    <mc:Choice Requires="x15">
      <x15ac:absPath xmlns:x15ac="http://schemas.microsoft.com/office/spreadsheetml/2010/11/ac" url="/Users/teamdojo/Desktop/Prep/Anglo American/"/>
    </mc:Choice>
  </mc:AlternateContent>
  <xr:revisionPtr revIDLastSave="0" documentId="13_ncr:1_{60461936-2526-9C48-853C-630EE627032A}" xr6:coauthVersionLast="47" xr6:coauthVersionMax="47" xr10:uidLastSave="{00000000-0000-0000-0000-000000000000}"/>
  <bookViews>
    <workbookView xWindow="37440" yWindow="-1060" windowWidth="28800" windowHeight="19100" activeTab="2" xr2:uid="{00000000-000D-0000-FFFF-FFFF00000000}"/>
  </bookViews>
  <sheets>
    <sheet name="DCF" sheetId="4" r:id="rId1"/>
    <sheet name="Assumptions" sheetId="5" r:id="rId2"/>
    <sheet name="Scenarios" sheetId="7" r:id="rId3"/>
    <sheet name="Rationale" sheetId="6" r:id="rId4"/>
    <sheet name="Historical 3-Statement" sheetId="1" r:id="rId5"/>
    <sheet name="Full Historical 3-Statement" sheetId="3" r:id="rId6"/>
    <sheet name="Source Data" sheetId="2" r:id="rId7"/>
  </sheets>
  <calcPr calcId="19102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D68" i="7" l="1"/>
  <c r="E68" i="7"/>
  <c r="E32" i="7"/>
  <c r="F32" i="7"/>
  <c r="G32" i="7"/>
  <c r="H32" i="7"/>
  <c r="E30" i="7"/>
  <c r="F30" i="7"/>
  <c r="G30" i="7"/>
  <c r="H30" i="7"/>
  <c r="E28" i="7"/>
  <c r="F28" i="7"/>
  <c r="G28" i="7"/>
  <c r="H28" i="7"/>
  <c r="D32" i="7"/>
  <c r="D30" i="7"/>
  <c r="D28" i="7"/>
  <c r="E24" i="7"/>
  <c r="F24" i="7"/>
  <c r="G24" i="7"/>
  <c r="H24" i="7"/>
  <c r="D24" i="7"/>
  <c r="E22" i="7"/>
  <c r="F22" i="7"/>
  <c r="G22" i="7"/>
  <c r="H22" i="7"/>
  <c r="D22" i="7"/>
  <c r="H20" i="7"/>
  <c r="G20" i="7"/>
  <c r="F20" i="7"/>
  <c r="E20" i="7"/>
  <c r="D20" i="7"/>
  <c r="E17" i="7"/>
  <c r="F17" i="7"/>
  <c r="G17" i="7"/>
  <c r="H17" i="7"/>
  <c r="D17" i="7"/>
  <c r="H13" i="7"/>
  <c r="G13" i="7"/>
  <c r="F13" i="7"/>
  <c r="E13" i="7"/>
  <c r="D13" i="7"/>
  <c r="D12" i="7" s="1"/>
  <c r="H11" i="7"/>
  <c r="G11" i="7"/>
  <c r="F11" i="7"/>
  <c r="E11" i="7"/>
  <c r="D11" i="7"/>
  <c r="D10" i="7" s="1"/>
  <c r="H9" i="7"/>
  <c r="G9" i="7"/>
  <c r="F9" i="7"/>
  <c r="E9" i="7"/>
  <c r="D9" i="7"/>
  <c r="D8" i="7" s="1"/>
  <c r="H7" i="7"/>
  <c r="G7" i="7"/>
  <c r="F7" i="7"/>
  <c r="E7" i="7"/>
  <c r="D7" i="7"/>
  <c r="E5" i="7"/>
  <c r="F5" i="7"/>
  <c r="G5" i="7"/>
  <c r="H5" i="7"/>
  <c r="D5" i="7"/>
  <c r="E63" i="7" l="1"/>
  <c r="F63" i="7"/>
  <c r="G63" i="7"/>
  <c r="H63" i="7"/>
  <c r="D63" i="7"/>
  <c r="E61" i="7"/>
  <c r="F61" i="7"/>
  <c r="G61" i="7"/>
  <c r="H61" i="7"/>
  <c r="D61" i="7"/>
  <c r="E59" i="7"/>
  <c r="F59" i="7"/>
  <c r="G59" i="7"/>
  <c r="H59" i="7"/>
  <c r="D59" i="7"/>
  <c r="E57" i="7"/>
  <c r="F57" i="7"/>
  <c r="G57" i="7"/>
  <c r="H57" i="7"/>
  <c r="D57" i="7"/>
  <c r="E51" i="7"/>
  <c r="F51" i="7"/>
  <c r="G51" i="7"/>
  <c r="H51" i="7"/>
  <c r="D51" i="7"/>
  <c r="E48" i="7"/>
  <c r="F48" i="7"/>
  <c r="G48" i="7"/>
  <c r="H48" i="7"/>
  <c r="D48" i="7"/>
  <c r="E46" i="7"/>
  <c r="F46" i="7"/>
  <c r="G46" i="7"/>
  <c r="H46" i="7"/>
  <c r="D46" i="7"/>
  <c r="E44" i="7"/>
  <c r="F44" i="7"/>
  <c r="G44" i="7"/>
  <c r="H44" i="7"/>
  <c r="D44" i="7"/>
  <c r="E42" i="7"/>
  <c r="F42" i="7" s="1"/>
  <c r="G42" i="7" s="1"/>
  <c r="H42" i="7" s="1"/>
  <c r="D42" i="7"/>
  <c r="E40" i="7"/>
  <c r="F40" i="7" s="1"/>
  <c r="G40" i="7" s="1"/>
  <c r="H40" i="7" s="1"/>
  <c r="D40" i="7"/>
  <c r="E38" i="7"/>
  <c r="F38" i="7"/>
  <c r="G38" i="7"/>
  <c r="H38" i="7"/>
  <c r="D38" i="7"/>
  <c r="E36" i="7"/>
  <c r="F36" i="7" s="1"/>
  <c r="G36" i="7" s="1"/>
  <c r="H36" i="7" s="1"/>
  <c r="D36" i="7"/>
  <c r="D128" i="7"/>
  <c r="H122" i="7"/>
  <c r="G122" i="7"/>
  <c r="F122" i="7"/>
  <c r="E122" i="7"/>
  <c r="D122" i="7"/>
  <c r="D109" i="7"/>
  <c r="E109" i="7" s="1"/>
  <c r="F109" i="7" s="1"/>
  <c r="G109" i="7" s="1"/>
  <c r="H109" i="7" s="1"/>
  <c r="D107" i="7"/>
  <c r="E107" i="7" s="1"/>
  <c r="F107" i="7" s="1"/>
  <c r="G107" i="7" s="1"/>
  <c r="H107" i="7" s="1"/>
  <c r="D105" i="7"/>
  <c r="E105" i="7" s="1"/>
  <c r="F105" i="7" s="1"/>
  <c r="G105" i="7" s="1"/>
  <c r="H105" i="7" s="1"/>
  <c r="D103" i="7"/>
  <c r="E103" i="7" s="1"/>
  <c r="F103" i="7" s="1"/>
  <c r="G103" i="7" s="1"/>
  <c r="H103" i="7" s="1"/>
  <c r="D101" i="7"/>
  <c r="D95" i="7"/>
  <c r="E89" i="7"/>
  <c r="F89" i="7"/>
  <c r="G89" i="7"/>
  <c r="H89" i="7"/>
  <c r="D89" i="7"/>
  <c r="D76" i="7"/>
  <c r="E76" i="7" s="1"/>
  <c r="F76" i="7" s="1"/>
  <c r="G76" i="7" s="1"/>
  <c r="H76" i="7" s="1"/>
  <c r="D74" i="7"/>
  <c r="E74" i="7" s="1"/>
  <c r="F74" i="7" s="1"/>
  <c r="G74" i="7" s="1"/>
  <c r="H74" i="7" s="1"/>
  <c r="D72" i="7"/>
  <c r="E72" i="7" s="1"/>
  <c r="F72" i="7" s="1"/>
  <c r="G72" i="7" s="1"/>
  <c r="H72" i="7" s="1"/>
  <c r="D70" i="7"/>
  <c r="F68" i="7"/>
  <c r="G68" i="7" s="1"/>
  <c r="H68" i="7" s="1"/>
  <c r="H31" i="7"/>
  <c r="G31" i="7"/>
  <c r="L23" i="4" s="1"/>
  <c r="F31" i="7"/>
  <c r="K23" i="4" s="1"/>
  <c r="E31" i="7"/>
  <c r="J23" i="4" s="1"/>
  <c r="D31" i="7"/>
  <c r="I23" i="4" s="1"/>
  <c r="C31" i="7"/>
  <c r="C32" i="7" s="1"/>
  <c r="C29" i="7"/>
  <c r="C27" i="7"/>
  <c r="H25" i="7"/>
  <c r="G25" i="7"/>
  <c r="F25" i="7"/>
  <c r="E25" i="7"/>
  <c r="C24" i="7"/>
  <c r="D25" i="7" s="1"/>
  <c r="C22" i="7"/>
  <c r="C19" i="7"/>
  <c r="C16" i="7"/>
  <c r="C14" i="7"/>
  <c r="E12" i="7"/>
  <c r="F12" i="7" s="1"/>
  <c r="G12" i="7" s="1"/>
  <c r="H12" i="7" s="1"/>
  <c r="E10" i="7"/>
  <c r="F10" i="7" s="1"/>
  <c r="G10" i="7" s="1"/>
  <c r="H10" i="7" s="1"/>
  <c r="E8" i="7"/>
  <c r="F8" i="7" s="1"/>
  <c r="G8" i="7" s="1"/>
  <c r="H8" i="7" s="1"/>
  <c r="D6" i="7"/>
  <c r="D4" i="7"/>
  <c r="E10" i="5"/>
  <c r="D42" i="4"/>
  <c r="M23" i="4"/>
  <c r="D44" i="4"/>
  <c r="G7" i="4"/>
  <c r="H7" i="4"/>
  <c r="F7" i="4"/>
  <c r="J15" i="4"/>
  <c r="K15" i="4"/>
  <c r="L15" i="4"/>
  <c r="M15" i="4"/>
  <c r="I15" i="4"/>
  <c r="J19" i="4"/>
  <c r="K19" i="4"/>
  <c r="L19" i="4"/>
  <c r="M19" i="4"/>
  <c r="I19" i="4"/>
  <c r="E18" i="5"/>
  <c r="E20" i="5" s="1"/>
  <c r="E24" i="5"/>
  <c r="E23" i="5"/>
  <c r="E24" i="4"/>
  <c r="G11" i="4"/>
  <c r="G16" i="4" s="1"/>
  <c r="H11" i="4"/>
  <c r="H16" i="4" s="1"/>
  <c r="F11" i="4"/>
  <c r="G23" i="4"/>
  <c r="H23" i="4"/>
  <c r="F23" i="4"/>
  <c r="G22" i="4"/>
  <c r="H22" i="4"/>
  <c r="F22" i="4"/>
  <c r="G21" i="4"/>
  <c r="G24" i="4" s="1"/>
  <c r="H21" i="4"/>
  <c r="F21" i="4"/>
  <c r="G9" i="4"/>
  <c r="H9" i="4"/>
  <c r="F9" i="4"/>
  <c r="G14" i="4"/>
  <c r="H14" i="4"/>
  <c r="F14" i="4"/>
  <c r="G19" i="4"/>
  <c r="H19" i="4"/>
  <c r="F19" i="4"/>
  <c r="E6" i="7" l="1"/>
  <c r="F6" i="7" s="1"/>
  <c r="G6" i="7" s="1"/>
  <c r="H6" i="7" s="1"/>
  <c r="D14" i="7"/>
  <c r="C17" i="7"/>
  <c r="D78" i="7"/>
  <c r="D83" i="7" s="1"/>
  <c r="C28" i="7"/>
  <c r="C20" i="7"/>
  <c r="C30" i="7"/>
  <c r="E70" i="7"/>
  <c r="D111" i="7"/>
  <c r="E101" i="7"/>
  <c r="E4" i="7"/>
  <c r="F16" i="4"/>
  <c r="H24" i="4"/>
  <c r="H28" i="4" s="1"/>
  <c r="E25" i="5"/>
  <c r="E27" i="5" s="1"/>
  <c r="E28" i="5" s="1"/>
  <c r="F24" i="4"/>
  <c r="F28" i="4"/>
  <c r="D93" i="7" l="1"/>
  <c r="D29" i="7"/>
  <c r="D27" i="7"/>
  <c r="I21" i="4" s="1"/>
  <c r="D80" i="7"/>
  <c r="D16" i="7"/>
  <c r="I7" i="4" s="1"/>
  <c r="D19" i="7"/>
  <c r="I9" i="4" s="1"/>
  <c r="D91" i="7"/>
  <c r="D113" i="7"/>
  <c r="D116" i="7"/>
  <c r="E78" i="7"/>
  <c r="E83" i="7" s="1"/>
  <c r="F70" i="7"/>
  <c r="D124" i="7"/>
  <c r="D126" i="7"/>
  <c r="E111" i="7"/>
  <c r="E116" i="7" s="1"/>
  <c r="F101" i="7"/>
  <c r="E13" i="5"/>
  <c r="E14" i="7"/>
  <c r="J5" i="4" s="1"/>
  <c r="J20" i="4" s="1"/>
  <c r="F4" i="7"/>
  <c r="I22" i="4"/>
  <c r="I5" i="4"/>
  <c r="I20" i="4" s="1"/>
  <c r="E21" i="5"/>
  <c r="G28" i="4"/>
  <c r="G70" i="7" l="1"/>
  <c r="F78" i="7"/>
  <c r="F83" i="7" s="1"/>
  <c r="E80" i="7"/>
  <c r="E93" i="7"/>
  <c r="E91" i="7"/>
  <c r="F111" i="7"/>
  <c r="G101" i="7"/>
  <c r="E126" i="7"/>
  <c r="E124" i="7"/>
  <c r="E113" i="7"/>
  <c r="G4" i="7"/>
  <c r="F14" i="7"/>
  <c r="E29" i="7"/>
  <c r="J22" i="4" s="1"/>
  <c r="E27" i="7"/>
  <c r="J21" i="4" s="1"/>
  <c r="E16" i="7"/>
  <c r="J7" i="4" s="1"/>
  <c r="J8" i="4" s="1"/>
  <c r="E19" i="7"/>
  <c r="J9" i="4" s="1"/>
  <c r="J10" i="4" s="1"/>
  <c r="I10" i="4"/>
  <c r="I24" i="4"/>
  <c r="I28" i="4" s="1"/>
  <c r="I11" i="4"/>
  <c r="I14" i="4" s="1"/>
  <c r="J6" i="4"/>
  <c r="I8" i="4"/>
  <c r="F5" i="4"/>
  <c r="G5" i="4"/>
  <c r="H5" i="4"/>
  <c r="I6" i="4" s="1"/>
  <c r="F15" i="4"/>
  <c r="F29" i="4" s="1"/>
  <c r="D144" i="3"/>
  <c r="D40" i="1" s="1"/>
  <c r="C144" i="3"/>
  <c r="F142" i="3"/>
  <c r="F144" i="3" s="1"/>
  <c r="F40" i="1" s="1"/>
  <c r="E142" i="3"/>
  <c r="E144" i="3" s="1"/>
  <c r="E40" i="1" s="1"/>
  <c r="D142" i="3"/>
  <c r="C142" i="3"/>
  <c r="B142" i="3"/>
  <c r="B144" i="3" s="1"/>
  <c r="B40" i="1" s="1"/>
  <c r="C133" i="3"/>
  <c r="F131" i="3"/>
  <c r="E131" i="3"/>
  <c r="D131" i="3"/>
  <c r="D133" i="3" s="1"/>
  <c r="C131" i="3"/>
  <c r="B131" i="3"/>
  <c r="F121" i="3"/>
  <c r="F133" i="3" s="1"/>
  <c r="E121" i="3"/>
  <c r="E133" i="3" s="1"/>
  <c r="D121" i="3"/>
  <c r="C121" i="3"/>
  <c r="B121" i="3"/>
  <c r="B133" i="3" s="1"/>
  <c r="F113" i="3"/>
  <c r="F37" i="1" s="1"/>
  <c r="B113" i="3"/>
  <c r="B36" i="1" s="1"/>
  <c r="F111" i="3"/>
  <c r="E111" i="3"/>
  <c r="D111" i="3"/>
  <c r="C111" i="3"/>
  <c r="C113" i="3" s="1"/>
  <c r="B111" i="3"/>
  <c r="F102" i="3"/>
  <c r="E102" i="3"/>
  <c r="E113" i="3" s="1"/>
  <c r="D102" i="3"/>
  <c r="D113" i="3" s="1"/>
  <c r="C102" i="3"/>
  <c r="B102" i="3"/>
  <c r="F82" i="3"/>
  <c r="E82" i="3"/>
  <c r="D82" i="3"/>
  <c r="D28" i="1" s="1"/>
  <c r="C82" i="3"/>
  <c r="C28" i="1" s="1"/>
  <c r="B82" i="3"/>
  <c r="F68" i="3"/>
  <c r="E68" i="3"/>
  <c r="E27" i="1" s="1"/>
  <c r="D68" i="3"/>
  <c r="D27" i="1" s="1"/>
  <c r="C68" i="3"/>
  <c r="B68" i="3"/>
  <c r="F39" i="3"/>
  <c r="E39" i="3"/>
  <c r="D39" i="3"/>
  <c r="C39" i="3"/>
  <c r="B39" i="3"/>
  <c r="F38" i="3"/>
  <c r="E38" i="3"/>
  <c r="D38" i="3"/>
  <c r="C38" i="3"/>
  <c r="B38" i="3"/>
  <c r="F37" i="3"/>
  <c r="C37" i="3"/>
  <c r="B37" i="3"/>
  <c r="F25" i="3"/>
  <c r="E25" i="3"/>
  <c r="E37" i="3" s="1"/>
  <c r="D25" i="3"/>
  <c r="D26" i="3" s="1"/>
  <c r="C25" i="3"/>
  <c r="B25" i="3"/>
  <c r="E21" i="3"/>
  <c r="E26" i="3" s="1"/>
  <c r="D21" i="3"/>
  <c r="F18" i="3"/>
  <c r="F21" i="3" s="1"/>
  <c r="F26" i="3" s="1"/>
  <c r="E18" i="3"/>
  <c r="D18" i="3"/>
  <c r="C18" i="3"/>
  <c r="C21" i="3" s="1"/>
  <c r="C26" i="3" s="1"/>
  <c r="B18" i="3"/>
  <c r="B21" i="3" s="1"/>
  <c r="B26" i="3" s="1"/>
  <c r="F11" i="3"/>
  <c r="E11" i="3"/>
  <c r="D11" i="3"/>
  <c r="C11" i="3"/>
  <c r="C26" i="1" s="1"/>
  <c r="B11" i="3"/>
  <c r="F10" i="3"/>
  <c r="E10" i="3"/>
  <c r="D10" i="3"/>
  <c r="D9" i="3" s="1"/>
  <c r="D18" i="1" s="1"/>
  <c r="C10" i="3"/>
  <c r="B10" i="3"/>
  <c r="E9" i="3"/>
  <c r="F8" i="3"/>
  <c r="F9" i="3" s="1"/>
  <c r="F18" i="1" s="1"/>
  <c r="E8" i="3"/>
  <c r="D8" i="3"/>
  <c r="C8" i="3"/>
  <c r="C9" i="3" s="1"/>
  <c r="C18" i="1" s="1"/>
  <c r="B8" i="3"/>
  <c r="B9" i="3" s="1"/>
  <c r="B18" i="1" s="1"/>
  <c r="F7" i="3"/>
  <c r="E7" i="3"/>
  <c r="D7" i="3"/>
  <c r="C7" i="3"/>
  <c r="B7" i="3"/>
  <c r="C40" i="1"/>
  <c r="F38" i="1"/>
  <c r="E38" i="1"/>
  <c r="D38" i="1"/>
  <c r="C38" i="1"/>
  <c r="B38" i="1"/>
  <c r="F35" i="1"/>
  <c r="E35" i="1"/>
  <c r="D35" i="1"/>
  <c r="C35" i="1"/>
  <c r="B35" i="1"/>
  <c r="F34" i="1"/>
  <c r="E34" i="1"/>
  <c r="D34" i="1"/>
  <c r="C34" i="1"/>
  <c r="B34" i="1"/>
  <c r="F29" i="1"/>
  <c r="E29" i="1"/>
  <c r="D29" i="1"/>
  <c r="C29" i="1"/>
  <c r="B29" i="1"/>
  <c r="F28" i="1"/>
  <c r="E28" i="1"/>
  <c r="B28" i="1"/>
  <c r="F27" i="1"/>
  <c r="C27" i="1"/>
  <c r="B27" i="1"/>
  <c r="F26" i="1"/>
  <c r="E26" i="1"/>
  <c r="D26" i="1"/>
  <c r="B26" i="1"/>
  <c r="F19" i="1"/>
  <c r="E19" i="1"/>
  <c r="D19" i="1"/>
  <c r="C19" i="1"/>
  <c r="B19" i="1"/>
  <c r="E18" i="1"/>
  <c r="F17" i="1"/>
  <c r="E17" i="1"/>
  <c r="D17" i="1"/>
  <c r="C17" i="1"/>
  <c r="B17" i="1"/>
  <c r="F16" i="1"/>
  <c r="E16" i="1"/>
  <c r="D16" i="1"/>
  <c r="C16" i="1"/>
  <c r="B16" i="1"/>
  <c r="J24" i="4" l="1"/>
  <c r="J25" i="4" s="1"/>
  <c r="F126" i="7"/>
  <c r="F116" i="7"/>
  <c r="J11" i="4"/>
  <c r="J14" i="4" s="1"/>
  <c r="J16" i="4" s="1"/>
  <c r="F80" i="7"/>
  <c r="F93" i="7"/>
  <c r="F91" i="7"/>
  <c r="H70" i="7"/>
  <c r="H78" i="7" s="1"/>
  <c r="H83" i="7" s="1"/>
  <c r="G78" i="7"/>
  <c r="G83" i="7" s="1"/>
  <c r="G111" i="7"/>
  <c r="G116" i="7" s="1"/>
  <c r="H101" i="7"/>
  <c r="H111" i="7" s="1"/>
  <c r="H116" i="7" s="1"/>
  <c r="F124" i="7"/>
  <c r="F113" i="7"/>
  <c r="I25" i="4"/>
  <c r="F27" i="7"/>
  <c r="K21" i="4" s="1"/>
  <c r="F19" i="7"/>
  <c r="K9" i="4" s="1"/>
  <c r="F29" i="7"/>
  <c r="K22" i="4" s="1"/>
  <c r="F16" i="7"/>
  <c r="K7" i="4" s="1"/>
  <c r="K5" i="4"/>
  <c r="G14" i="7"/>
  <c r="H4" i="7"/>
  <c r="H14" i="7" s="1"/>
  <c r="I16" i="4"/>
  <c r="I29" i="4" s="1"/>
  <c r="I32" i="4" s="1"/>
  <c r="G25" i="4"/>
  <c r="G20" i="4"/>
  <c r="F20" i="4"/>
  <c r="F25" i="4"/>
  <c r="H25" i="4"/>
  <c r="H20" i="4"/>
  <c r="H15" i="4"/>
  <c r="G15" i="4"/>
  <c r="G29" i="4" s="1"/>
  <c r="F8" i="4"/>
  <c r="G6" i="4"/>
  <c r="F10" i="4"/>
  <c r="H6" i="4"/>
  <c r="H10" i="4"/>
  <c r="G10" i="4"/>
  <c r="G8" i="4"/>
  <c r="H8" i="4"/>
  <c r="C39" i="1"/>
  <c r="E39" i="1"/>
  <c r="D39" i="1"/>
  <c r="B39" i="1"/>
  <c r="F39" i="1"/>
  <c r="F41" i="1" s="1"/>
  <c r="C28" i="3"/>
  <c r="C30" i="3" s="1"/>
  <c r="C32" i="3" s="1"/>
  <c r="C36" i="3"/>
  <c r="C40" i="3" s="1"/>
  <c r="C50" i="3" s="1"/>
  <c r="C55" i="3" s="1"/>
  <c r="D36" i="1"/>
  <c r="D134" i="3"/>
  <c r="D145" i="3" s="1"/>
  <c r="D37" i="1"/>
  <c r="C37" i="1"/>
  <c r="C36" i="1"/>
  <c r="C134" i="3"/>
  <c r="C145" i="3" s="1"/>
  <c r="D28" i="3"/>
  <c r="D30" i="3" s="1"/>
  <c r="D32" i="3" s="1"/>
  <c r="D36" i="3"/>
  <c r="E28" i="3"/>
  <c r="E30" i="3" s="1"/>
  <c r="E32" i="3" s="1"/>
  <c r="E36" i="3"/>
  <c r="E40" i="3" s="1"/>
  <c r="E50" i="3" s="1"/>
  <c r="E55" i="3" s="1"/>
  <c r="E134" i="3"/>
  <c r="E145" i="3" s="1"/>
  <c r="E37" i="1"/>
  <c r="E41" i="1" s="1"/>
  <c r="E36" i="1"/>
  <c r="B36" i="3"/>
  <c r="B40" i="3" s="1"/>
  <c r="B50" i="3" s="1"/>
  <c r="B55" i="3" s="1"/>
  <c r="B28" i="3"/>
  <c r="B30" i="3" s="1"/>
  <c r="B32" i="3" s="1"/>
  <c r="F36" i="3"/>
  <c r="F40" i="3" s="1"/>
  <c r="F50" i="3" s="1"/>
  <c r="F55" i="3" s="1"/>
  <c r="F28" i="3"/>
  <c r="F30" i="3" s="1"/>
  <c r="F32" i="3" s="1"/>
  <c r="F134" i="3"/>
  <c r="F145" i="3" s="1"/>
  <c r="F36" i="1"/>
  <c r="B37" i="1"/>
  <c r="D37" i="3"/>
  <c r="B134" i="3"/>
  <c r="B145" i="3" s="1"/>
  <c r="J28" i="4" l="1"/>
  <c r="J29" i="4" s="1"/>
  <c r="J32" i="4" s="1"/>
  <c r="G91" i="7"/>
  <c r="G80" i="7"/>
  <c r="G93" i="7"/>
  <c r="H93" i="7"/>
  <c r="H91" i="7"/>
  <c r="H80" i="7"/>
  <c r="G126" i="7"/>
  <c r="G113" i="7"/>
  <c r="G124" i="7"/>
  <c r="H113" i="7"/>
  <c r="H126" i="7"/>
  <c r="H124" i="7"/>
  <c r="G29" i="7"/>
  <c r="L22" i="4" s="1"/>
  <c r="G16" i="7"/>
  <c r="L7" i="4" s="1"/>
  <c r="G19" i="7"/>
  <c r="L9" i="4" s="1"/>
  <c r="G27" i="7"/>
  <c r="L21" i="4" s="1"/>
  <c r="L5" i="4"/>
  <c r="K10" i="4"/>
  <c r="K11" i="4"/>
  <c r="K14" i="4" s="1"/>
  <c r="K16" i="4" s="1"/>
  <c r="K8" i="4"/>
  <c r="H19" i="7"/>
  <c r="M9" i="4" s="1"/>
  <c r="H27" i="7"/>
  <c r="M21" i="4" s="1"/>
  <c r="H29" i="7"/>
  <c r="M22" i="4" s="1"/>
  <c r="H16" i="7"/>
  <c r="M7" i="4" s="1"/>
  <c r="M5" i="4"/>
  <c r="K20" i="4"/>
  <c r="K6" i="4"/>
  <c r="K24" i="4"/>
  <c r="H29" i="4"/>
  <c r="E14" i="5"/>
  <c r="E15" i="5" s="1"/>
  <c r="E4" i="5" s="1"/>
  <c r="B41" i="1"/>
  <c r="C41" i="1"/>
  <c r="D41" i="1"/>
  <c r="F20" i="1"/>
  <c r="F21" i="1"/>
  <c r="E21" i="1"/>
  <c r="E20" i="1"/>
  <c r="F25" i="1"/>
  <c r="F84" i="3"/>
  <c r="F87" i="3" s="1"/>
  <c r="F30" i="1" s="1"/>
  <c r="D40" i="3"/>
  <c r="D50" i="3" s="1"/>
  <c r="D55" i="3" s="1"/>
  <c r="B20" i="1"/>
  <c r="B21" i="1"/>
  <c r="D21" i="1"/>
  <c r="D20" i="1"/>
  <c r="C25" i="1"/>
  <c r="C84" i="3"/>
  <c r="C87" i="3" s="1"/>
  <c r="C30" i="1" s="1"/>
  <c r="B84" i="3"/>
  <c r="B87" i="3" s="1"/>
  <c r="B30" i="1" s="1"/>
  <c r="B25" i="1"/>
  <c r="E84" i="3"/>
  <c r="E87" i="3" s="1"/>
  <c r="E30" i="1" s="1"/>
  <c r="E25" i="1"/>
  <c r="C21" i="1"/>
  <c r="C20" i="1"/>
  <c r="M10" i="4" l="1"/>
  <c r="M20" i="4"/>
  <c r="M6" i="4"/>
  <c r="K25" i="4"/>
  <c r="K28" i="4"/>
  <c r="K29" i="4" s="1"/>
  <c r="K32" i="4" s="1"/>
  <c r="M11" i="4"/>
  <c r="M14" i="4" s="1"/>
  <c r="M16" i="4" s="1"/>
  <c r="M8" i="4"/>
  <c r="L24" i="4"/>
  <c r="L20" i="4"/>
  <c r="L6" i="4"/>
  <c r="L10" i="4"/>
  <c r="M24" i="4"/>
  <c r="L11" i="4"/>
  <c r="L14" i="4" s="1"/>
  <c r="L16" i="4" s="1"/>
  <c r="L8" i="4"/>
  <c r="D25" i="1"/>
  <c r="D84" i="3"/>
  <c r="D87" i="3" s="1"/>
  <c r="D30" i="1" s="1"/>
  <c r="M25" i="4" l="1"/>
  <c r="M28" i="4"/>
  <c r="M29" i="4" s="1"/>
  <c r="L25" i="4"/>
  <c r="L28" i="4"/>
  <c r="L29" i="4" s="1"/>
  <c r="L32" i="4" s="1"/>
  <c r="M32" i="4" l="1"/>
  <c r="D36" i="4" s="1"/>
  <c r="N29" i="4"/>
  <c r="N33" i="4" l="1"/>
  <c r="D37" i="4" s="1"/>
  <c r="D38" i="4" s="1"/>
  <c r="D41" i="4" s="1"/>
  <c r="D43" i="4" s="1"/>
  <c r="D45" i="4" s="1"/>
  <c r="N32" i="4"/>
</calcChain>
</file>

<file path=xl/sharedStrings.xml><?xml version="1.0" encoding="utf-8"?>
<sst xmlns="http://schemas.openxmlformats.org/spreadsheetml/2006/main" count="428" uniqueCount="257">
  <si>
    <t>Anglo American plc — Condensed Historical 3-Statement</t>
  </si>
  <si>
    <t>2021A–2025A | US$ million | 20 core lines. All condensed lines now trace to the Full Historical 3-Statement sheet; 2025 operating metrics are continuing operations.</t>
  </si>
  <si>
    <t>US$mm</t>
  </si>
  <si>
    <t>INCOME STATEMENT</t>
  </si>
  <si>
    <t>Revenue</t>
  </si>
  <si>
    <t>Underlying EBITDA</t>
  </si>
  <si>
    <t>Depreciation &amp; Amortisation</t>
  </si>
  <si>
    <t>Underlying EBIT</t>
  </si>
  <si>
    <t>Finance, Special Items, Tax, Discontinued Ops &amp; NCI</t>
  </si>
  <si>
    <t>Net Income Attributable to Shareholders</t>
  </si>
  <si>
    <t>CASH FLOW STATEMENT</t>
  </si>
  <si>
    <t>Net Cash from Operating Activities</t>
  </si>
  <si>
    <t>Capital Expenditure</t>
  </si>
  <si>
    <t>Other Investing Activities</t>
  </si>
  <si>
    <t>Net Cash from Financing Activities</t>
  </si>
  <si>
    <t>FX / Other Cash Movement</t>
  </si>
  <si>
    <t>Ending Cash &amp; Cash Equivalents (CFS)</t>
  </si>
  <si>
    <t>BALANCE SHEET</t>
  </si>
  <si>
    <t>Cash &amp; Cash Equivalents</t>
  </si>
  <si>
    <t>Property, Plant &amp; Equipment</t>
  </si>
  <si>
    <t>Other Assets</t>
  </si>
  <si>
    <t>Total Assets</t>
  </si>
  <si>
    <t>Gross Debt</t>
  </si>
  <si>
    <t>Other Liabilities</t>
  </si>
  <si>
    <t>Total Equity</t>
  </si>
  <si>
    <t>Balance Check</t>
  </si>
  <si>
    <t>Audit trail: the condensed sheet contains no historical hardcodes. Its selected operating, cash-flow and balance-sheet lines are linked to the Full Historical 3-Statement. The catch-all below Underlying EBIT aggregates all items required to reconcile to reported shareholder net income.</t>
  </si>
  <si>
    <t>Anglo American plc — Historical Source Data</t>
  </si>
  <si>
    <t>US$ million. 2025 operating P&amp;L / capex metrics reflect continuing operations after Steelmaking Coal, Nickel and PGMs were classified as discontinued operations; earlier years are as reported.</t>
  </si>
  <si>
    <t>Source Metric</t>
  </si>
  <si>
    <t>Source / Note</t>
  </si>
  <si>
    <t>URL</t>
  </si>
  <si>
    <t>FY2021–FY2024 as reported; FY2025 continuing operations.</t>
  </si>
  <si>
    <t>https://www.angloamerican.com/media/press-releases/2026/20-02-2026</t>
  </si>
  <si>
    <t>Company APM; FY2025 continuing operations.</t>
  </si>
  <si>
    <t>https://www.angloamerican.com/~/media/Files/A/Anglo-American-Group-v9/PLC/investors/annual-reporting/2025/aa-annual-report-full-2025.pdf</t>
  </si>
  <si>
    <t>2024 = EBITDA less reported D&amp;A; FY2025 continuing operations.</t>
  </si>
  <si>
    <t>https://www.angloamerican.com/~/media/Files/A/Anglo-American-Group-v9/PLC/investors/annual-reporting/2024/aa-annual-report-full-2024.pdf</t>
  </si>
  <si>
    <t>Net Finance Costs</t>
  </si>
  <si>
    <t>Reported net finance costs incl. financing special items / remeasurements where applicable.</t>
  </si>
  <si>
    <t>Profit/(loss) attributable to equity shareholders of Anglo American plc.</t>
  </si>
  <si>
    <t>Total Group consolidated cash flow statement.</t>
  </si>
  <si>
    <t>Company capex APM; FY2025 continuing operations.</t>
  </si>
  <si>
    <t>Net Cash Used in Investing Activities</t>
  </si>
  <si>
    <t>Net Cash Used in Financing Activities</t>
  </si>
  <si>
    <t>Effect of changes in foreign exchange rates on cash.</t>
  </si>
  <si>
    <t>Opening Cash (CFS)</t>
  </si>
  <si>
    <t>Cash and cash equivalents at start of year per consolidated cash flow statement.</t>
  </si>
  <si>
    <t>https://www.angloamerican.com/~/media/Files/A/Anglo-American-Group-v5/PLC/investors/annual-reporting/2022/aa-annual-report-full-2021.pdf</t>
  </si>
  <si>
    <t>CFS-to-BS Cash Classification Adjustment</t>
  </si>
  <si>
    <t>Primarily bank overdraft / classification difference between CFS cash and balance-sheet cash.</t>
  </si>
  <si>
    <t>PP&amp;E</t>
  </si>
  <si>
    <t>Property, plant and equipment per consolidated balance sheet.</t>
  </si>
  <si>
    <t>Consolidated balance sheet; 2022 equity comparative subsequently restated for IAS 12.</t>
  </si>
  <si>
    <t>https://www.angloamerican.com/~/media/Files/A/Anglo-American-Group-v9/PLC/investors/annual-reporting/2023/anglo-american-annual-report-2023.pdf</t>
  </si>
  <si>
    <t>Short-term plus medium/long-term borrowings per consolidated balance sheet.</t>
  </si>
  <si>
    <t>Consolidated total equity; 2022 uses latest restated comparative.</t>
  </si>
  <si>
    <t>Anglo American plc — Full Historical 3-Statement</t>
  </si>
  <si>
    <t>2021A–2025A | US$ million. 2025 operating P&amp;L / APM metrics use continuing operations, with discontinued operations shown separately; cash flow and balance sheet remain total Group. 2022 balance sheet uses the IAS 12-restated comparative.</t>
  </si>
  <si>
    <t>Period</t>
  </si>
  <si>
    <t>Primary Source</t>
  </si>
  <si>
    <t>Basis / Note</t>
  </si>
  <si>
    <t>2021A–2022A</t>
  </si>
  <si>
    <t>https://www.angloamerican.com/~/media/Files/A/Anglo-American-Group-v5/PLC/investors/annual-reporting/2022/aa-annual-report-full-2022.pdf</t>
  </si>
  <si>
    <t>2022 Annual Report; 2022 balance-sheet DTL / equity updated for IAS 12 restatement.</t>
  </si>
  <si>
    <t>SUPPLEMENTAL OPERATING KPIs / APMs</t>
  </si>
  <si>
    <t>2022A restatement</t>
  </si>
  <si>
    <t>https://www.annualreports.com/HostedData/AnnualReportArchive/a/LSE_AAL_2023.pdf</t>
  </si>
  <si>
    <t>2023 Annual Report comparative; used for restated 2022 DTL and equity.</t>
  </si>
  <si>
    <t>2023A–2024A</t>
  </si>
  <si>
    <t>2024 Annual Report.</t>
  </si>
  <si>
    <t>2025A</t>
  </si>
  <si>
    <t>2025 Annual Report; operating P&amp;L/APMs continuing operations; discontinued operations shown separately.</t>
  </si>
  <si>
    <t>Capital Expenditure (APM)</t>
  </si>
  <si>
    <t>Net Debt</t>
  </si>
  <si>
    <t>Operating Costs</t>
  </si>
  <si>
    <t>Operating Profit / (Loss)</t>
  </si>
  <si>
    <t>Non-Operating Special Items</t>
  </si>
  <si>
    <t>Net Income from Associates &amp; Joint Ventures</t>
  </si>
  <si>
    <t>Profit before Net Finance Costs and Tax</t>
  </si>
  <si>
    <t>Investment Income</t>
  </si>
  <si>
    <t>Interest Expense</t>
  </si>
  <si>
    <t>Other Net Financing Gains / (Losses)</t>
  </si>
  <si>
    <t>Profit / (Loss) before Tax</t>
  </si>
  <si>
    <t>Income Tax</t>
  </si>
  <si>
    <t>Profit / (Loss) before Discontinued Operations</t>
  </si>
  <si>
    <t>Discontinued Operations</t>
  </si>
  <si>
    <t>Profit / (Loss) for the Financial Year</t>
  </si>
  <si>
    <t>Non-Controlling Interests</t>
  </si>
  <si>
    <t>Revenue &amp; Operating Special Items</t>
  </si>
  <si>
    <t>Cash Element of Special Items</t>
  </si>
  <si>
    <t>Share-Based Payment Expense</t>
  </si>
  <si>
    <t>Provisions / Retirement Benefits</t>
  </si>
  <si>
    <t>Decrease / (Increase) in Inventories</t>
  </si>
  <si>
    <t>Decrease / (Increase) in Receivables</t>
  </si>
  <si>
    <t>Increase / (Decrease) in Payables</t>
  </si>
  <si>
    <t>Other Operating Adjustments</t>
  </si>
  <si>
    <t>Cash Flows from Operations</t>
  </si>
  <si>
    <t>Dividends from Associates &amp; JVs</t>
  </si>
  <si>
    <t>Dividends from Financial Asset Investments</t>
  </si>
  <si>
    <t>Tax Paid</t>
  </si>
  <si>
    <t>Discontinued Operating Cash Flow</t>
  </si>
  <si>
    <t>Purchase of PP&amp;E</t>
  </si>
  <si>
    <t>Capital Expenditure Derivatives</t>
  </si>
  <si>
    <t>Proceeds from Disposal of PP&amp;E</t>
  </si>
  <si>
    <t>Investments in Associates &amp; JVs</t>
  </si>
  <si>
    <t>Purchase of Intangible Assets</t>
  </si>
  <si>
    <t>Financial Asset Investments / Disposals</t>
  </si>
  <si>
    <t>Interest Received</t>
  </si>
  <si>
    <t>Acquisitions</t>
  </si>
  <si>
    <t>Disposals</t>
  </si>
  <si>
    <t>Discontinued Investing Cash Flow</t>
  </si>
  <si>
    <t>Interest Paid</t>
  </si>
  <si>
    <t>Financing Derivatives</t>
  </si>
  <si>
    <t>Dividends to Shareholders</t>
  </si>
  <si>
    <t>Distributions to NCI</t>
  </si>
  <si>
    <t>Bond Issuance</t>
  </si>
  <si>
    <t>Other Borrowings</t>
  </si>
  <si>
    <t>Lease Capital Repayments</t>
  </si>
  <si>
    <t>Repayment of Bonds / Borrowings</t>
  </si>
  <si>
    <t>Purchase of Own Shares</t>
  </si>
  <si>
    <t>NCI Transactions</t>
  </si>
  <si>
    <t>Other Financing Activities</t>
  </si>
  <si>
    <t>Discontinued Financing Cash Flow</t>
  </si>
  <si>
    <t>Net Increase / (Decrease) in Cash</t>
  </si>
  <si>
    <t>Opening Cash &amp; Cash Equivalents (CFS)</t>
  </si>
  <si>
    <t>FX Effect on Cash</t>
  </si>
  <si>
    <t>NON-CURRENT ASSETS</t>
  </si>
  <si>
    <t>Intangible Assets</t>
  </si>
  <si>
    <t>Environmental Rehabilitation Trusts</t>
  </si>
  <si>
    <t>Associates &amp; Joint Ventures</t>
  </si>
  <si>
    <t>Financial Asset Investments</t>
  </si>
  <si>
    <t>Inventories — Non-Current</t>
  </si>
  <si>
    <t>Trade &amp; Other Receivables — Non-Current</t>
  </si>
  <si>
    <t>Deferred Tax Assets</t>
  </si>
  <si>
    <t>Derivative Financial Assets — Non-Current</t>
  </si>
  <si>
    <t>Pension / Other Non-Current Assets</t>
  </si>
  <si>
    <t>Total Non-Current Assets</t>
  </si>
  <si>
    <t>CURRENT ASSETS</t>
  </si>
  <si>
    <t>Inventories — Current</t>
  </si>
  <si>
    <t>Trade &amp; Other Receivables — Current</t>
  </si>
  <si>
    <t>Current Tax Assets</t>
  </si>
  <si>
    <t>Derivative Financial Assets — Current</t>
  </si>
  <si>
    <t>Financial Asset Investments — Current</t>
  </si>
  <si>
    <t>Total Current Assets</t>
  </si>
  <si>
    <t>Assets Held for Sale</t>
  </si>
  <si>
    <t>CURRENT LIABILITIES</t>
  </si>
  <si>
    <t>Trade &amp; Other Payables — Current</t>
  </si>
  <si>
    <t>Short-Term Borrowings</t>
  </si>
  <si>
    <t>Provisions — Current</t>
  </si>
  <si>
    <t>Current Tax Liabilities</t>
  </si>
  <si>
    <t>Derivative Financial Liabilities — Current</t>
  </si>
  <si>
    <t>Total Current Liabilities</t>
  </si>
  <si>
    <t>NON-CURRENT LIABILITIES</t>
  </si>
  <si>
    <t>Trade &amp; Other Payables — Non-Current</t>
  </si>
  <si>
    <t>Medium / Long-Term Borrowings</t>
  </si>
  <si>
    <t>Royalty Liability</t>
  </si>
  <si>
    <t>Retirement Benefit Obligations</t>
  </si>
  <si>
    <t>Deferred Tax Liabilities</t>
  </si>
  <si>
    <t>Derivative Financial Liabilities — Non-Current</t>
  </si>
  <si>
    <t>Provisions — Non-Current</t>
  </si>
  <si>
    <t>Total Non-Current Liabilities</t>
  </si>
  <si>
    <t>Liabilities Associated with Assets Held for Sale</t>
  </si>
  <si>
    <t>Total Liabilities</t>
  </si>
  <si>
    <t>Net Assets</t>
  </si>
  <si>
    <t>EQUITY</t>
  </si>
  <si>
    <t>Share Capital</t>
  </si>
  <si>
    <t>Share Premium</t>
  </si>
  <si>
    <t>Own Shares</t>
  </si>
  <si>
    <t>Other Reserves</t>
  </si>
  <si>
    <t>Retained Earnings</t>
  </si>
  <si>
    <t>Equity Attributable to Shareholders</t>
  </si>
  <si>
    <t xml:space="preserve">% Growth </t>
  </si>
  <si>
    <t>EBITDA Margin</t>
  </si>
  <si>
    <t>D&amp;A / Revenue</t>
  </si>
  <si>
    <t>2026E</t>
  </si>
  <si>
    <t>Term</t>
  </si>
  <si>
    <t>OPERATING PERFORMANCE</t>
  </si>
  <si>
    <t>TAX / NOPAT</t>
  </si>
  <si>
    <t>Current Tax Expense</t>
  </si>
  <si>
    <t>Tax Rate</t>
  </si>
  <si>
    <t>NOPAT</t>
  </si>
  <si>
    <t>REINVESTMENT / WORKING CAPITAL</t>
  </si>
  <si>
    <t>CapEx / Revenue</t>
  </si>
  <si>
    <t>Inventory</t>
  </si>
  <si>
    <t>Trade Receivables</t>
  </si>
  <si>
    <t>Trade Payables</t>
  </si>
  <si>
    <t>Operating Net Working Capital</t>
  </si>
  <si>
    <t>NWC / Revenue</t>
  </si>
  <si>
    <t>UNLEVERED FREE CASH FLOW</t>
  </si>
  <si>
    <t xml:space="preserve">Unlevered FCF </t>
  </si>
  <si>
    <t>Change in Operation NWC</t>
  </si>
  <si>
    <t>UNDISCOUNTED CASH FLOW</t>
  </si>
  <si>
    <t>Discrete Forecast</t>
  </si>
  <si>
    <t>Terminal Value</t>
  </si>
  <si>
    <t>ASSUMPTIONS</t>
  </si>
  <si>
    <t>Growth Rate</t>
  </si>
  <si>
    <t>COST OF EQUITY</t>
  </si>
  <si>
    <t>Risk-free Rate (UK 10-Year)</t>
  </si>
  <si>
    <t>Beta</t>
  </si>
  <si>
    <t>Market Risk Premium</t>
  </si>
  <si>
    <t>CAPM</t>
  </si>
  <si>
    <t>AFTER-TAX COST OF DEBT</t>
  </si>
  <si>
    <t>Interest Rate on Debt</t>
  </si>
  <si>
    <t>Cost of Debt</t>
  </si>
  <si>
    <t>MARKET VALUE OF EQUITY AND DEBT</t>
  </si>
  <si>
    <t xml:space="preserve">Share Price </t>
  </si>
  <si>
    <t>Shares Outstanding</t>
  </si>
  <si>
    <t xml:space="preserve">Market Value of Equity </t>
  </si>
  <si>
    <t>% Weight</t>
  </si>
  <si>
    <t>Current Cost of Debt</t>
  </si>
  <si>
    <t>Total Debt</t>
  </si>
  <si>
    <t xml:space="preserve">Average Maturity </t>
  </si>
  <si>
    <t>Market Value of Debt</t>
  </si>
  <si>
    <t>ENTERPRISE VALUE</t>
  </si>
  <si>
    <t>Present Value of Discrete</t>
  </si>
  <si>
    <t>Present Value of Terminal</t>
  </si>
  <si>
    <t>EV</t>
  </si>
  <si>
    <t>EQUITY VALUE</t>
  </si>
  <si>
    <t xml:space="preserve">Equity Value </t>
  </si>
  <si>
    <t>Intrinsic Value Per Share</t>
  </si>
  <si>
    <t>Discount Rate</t>
  </si>
  <si>
    <t xml:space="preserve">Revenue </t>
  </si>
  <si>
    <t xml:space="preserve">Assumption </t>
  </si>
  <si>
    <t>Rationale</t>
  </si>
  <si>
    <t>Copper</t>
  </si>
  <si>
    <t>Premium Iron Ore</t>
  </si>
  <si>
    <t>Manganese</t>
  </si>
  <si>
    <t>Crop Nutrients</t>
  </si>
  <si>
    <t>Other</t>
  </si>
  <si>
    <t>2027E</t>
  </si>
  <si>
    <t>2028E</t>
  </si>
  <si>
    <t>2029E</t>
  </si>
  <si>
    <t>2030E</t>
  </si>
  <si>
    <t xml:space="preserve">Copper Growth </t>
  </si>
  <si>
    <t>Premium Iron Ore Growth</t>
  </si>
  <si>
    <t>Manganese Growth</t>
  </si>
  <si>
    <t>Crop Nutrients Growth</t>
  </si>
  <si>
    <t>Anglo expects copper production to grow over the next three years from 695kt in 2025 to 790-850kt in 2028. In 2026 alone, the Los Bronces second plant has restarted which will add incremental production, while Collahausi is expected to get better-grade ore later in the year. Future production growth is expected to come from Chiledue to high-grade ore and plant debottlenecking at the end of 2027. Peru to remain stable. 
Copper price is expected to growth roughly 20% in 2026, as reported by the World Bank, and usage to grow 2% per year supported by electricity networks, urbanisation, manufacturing and data centres, creating a very strong pricing environment. 
In 2027, we can expect a price normalisation depsite the increase in production. There is a supply gap remaining for Copper therefore 2028 onwards forecast we can expect an attractive backdrop still but not continuously elevated price increases every year</t>
  </si>
  <si>
    <t xml:space="preserve">Management expects production in Kumba to slightly increase through to 2028 and Minas-Rio to drop from 2026 to 2028; however, sales are not expected to be impacted, beacuase Kumba plans to draw down finished-product inventory while production is lower.
The World Bank forecasts the average iron ore price will decrease from the $97/dmt in 2026 to $95/dmt in 2027, due to China property downturn. Continous production growth from large exporters such as Australia and Brazil put pressure on the price. </t>
  </si>
  <si>
    <t xml:space="preserve">South32 and South Africa Manganese expect production to stay flat in 2026 and 2027. The market remained relatively well supplied and overall demand growth was modest in 2026. S&amp;P expects manganese demand to increase substantially over the long term because manganese is increasingly used in battery chemistries. </t>
  </si>
  <si>
    <t xml:space="preserve">Woodsmith mining is still being developed, but could be a transformational asset once commerically ready. Majority of the revenue from this line is being generated by The Cibra Group, a Brazilian fertiliser distributor. Anglo has piloted sales of Woodsmith across the EU, NA, China and Brazil to prove demand for it, establish pricing and build a future market before mining commences. No Board approval date has been published yet. </t>
  </si>
  <si>
    <t>Other Growth</t>
  </si>
  <si>
    <t>CapEx</t>
  </si>
  <si>
    <t>CapEx Growth</t>
  </si>
  <si>
    <t xml:space="preserve">Copper being Anglos highest margin core business, resulting in an EBITDA margin to naturally rise helped by the very strong copper pricing.  
De Beers sell off remove the negative contribution the company has had on EBITDA. Anglo should have a structurally higher EBITDA margin. Additionally, Anglo management delivered a $1.8bn run-rate cost saving program ending in 2025, H1 benefits from those savings. </t>
  </si>
  <si>
    <t>Underlying EBITDA / Revenue</t>
  </si>
  <si>
    <t xml:space="preserve">D&amp;A </t>
  </si>
  <si>
    <t>With the sale of De Beers, D&amp;A / Revenue will increase slightly due to the contribution of $276m it was contributing. With Copper revenue expected to grow driven by price increase, D&amp;A / Revenue will fall.</t>
  </si>
  <si>
    <t>Management guideline</t>
  </si>
  <si>
    <t>Inventory Days</t>
  </si>
  <si>
    <t>BASE CASE</t>
  </si>
  <si>
    <t>LIVE CASE</t>
  </si>
  <si>
    <t>UPSIDE CASE</t>
  </si>
  <si>
    <t>DOWNSIDE CASE</t>
  </si>
  <si>
    <t xml:space="preserve">Cases </t>
  </si>
  <si>
    <t>Live Case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</si>
</sst>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Red]\(#,##0\);\-"/>
    <numFmt numFmtId="165" formatCode="0.0%"/>
    <numFmt numFmtId="166" formatCode="_(* #,##0_);_(* \(#,##0\);_(* &quot;-&quot;??_);_(@_)"/>
    <numFmt numFmtId="167" formatCode="_(* #,##0.0_);_(* \(#,##0.0\);_(* &quot;-&quot;?_);_(@_)"/>
  </numFmts>
  <fonts count="26">
    <font>
      <sz val="11"/>
      <name val="Carlito"/>
    </font>
    <font>
      <b/>
      <sz val="14"/>
      <color rgb="FFFFFFFF"/>
      <name val="Carlito"/>
    </font>
    <font>
      <i/>
      <sz val="9"/>
      <color rgb="FF666666"/>
      <name val="Carlito"/>
    </font>
    <font>
      <b/>
      <sz val="11"/>
      <name val="Carlito"/>
    </font>
    <font>
      <sz val="11"/>
      <color rgb="FF0000FF"/>
      <name val="Carlito"/>
    </font>
    <font>
      <sz val="11"/>
      <name val="Carlito"/>
    </font>
    <font>
      <sz val="11"/>
      <name val="Arial"/>
      <family val="2"/>
    </font>
    <font>
      <b/>
      <sz val="11"/>
      <name val="Arial"/>
      <family val="2"/>
    </font>
    <font>
      <b/>
      <sz val="12"/>
      <color theme="0"/>
      <name val="Arial"/>
      <family val="2"/>
    </font>
    <font>
      <sz val="11"/>
      <color rgb="FF008000"/>
      <name val="Arial"/>
      <family val="2"/>
    </font>
    <font>
      <sz val="12"/>
      <name val="Arial"/>
      <family val="2"/>
    </font>
    <font>
      <b/>
      <sz val="14"/>
      <color rgb="FFFFFFFF"/>
      <name val="Arial"/>
      <family val="2"/>
    </font>
    <font>
      <i/>
      <sz val="9"/>
      <color rgb="FF666666"/>
      <name val="Arial"/>
      <family val="2"/>
    </font>
    <font>
      <b/>
      <sz val="11"/>
      <color rgb="FFFFFFFF"/>
      <name val="Arial"/>
      <family val="2"/>
    </font>
    <font>
      <sz val="11"/>
      <color rgb="FF000000"/>
      <name val="Arial"/>
      <family val="2"/>
    </font>
    <font>
      <sz val="11"/>
      <color rgb="FF0000FF"/>
      <name val="Arial"/>
      <family val="2"/>
    </font>
    <font>
      <b/>
      <sz val="11"/>
      <color rgb="FF000000"/>
      <name val="Arial"/>
      <family val="2"/>
    </font>
    <font>
      <b/>
      <sz val="12"/>
      <name val="Arial"/>
      <family val="2"/>
    </font>
    <font>
      <i/>
      <sz val="12"/>
      <color theme="0" tint="-0.499984740745262"/>
      <name val="Arial"/>
      <family val="2"/>
    </font>
    <font>
      <i/>
      <sz val="12"/>
      <name val="Arial"/>
      <family val="2"/>
    </font>
    <font>
      <sz val="12"/>
      <color theme="0" tint="-0.499984740745262"/>
      <name val="Arial"/>
      <family val="2"/>
    </font>
    <font>
      <sz val="12"/>
      <color rgb="FF008000"/>
      <name val="Arial"/>
      <family val="2"/>
    </font>
    <font>
      <i/>
      <sz val="12"/>
      <color rgb="FFFF0000"/>
      <name val="Arial"/>
      <family val="2"/>
    </font>
    <font>
      <i/>
      <sz val="12"/>
      <color theme="1"/>
      <name val="Arial"/>
      <family val="2"/>
    </font>
    <font>
      <b/>
      <sz val="12"/>
      <color rgb="FF008000"/>
      <name val="Arial"/>
      <family val="2"/>
    </font>
    <font>
      <b/>
      <sz val="12"/>
      <color theme="1"/>
      <name val="Arial"/>
      <family val="2"/>
    </font>
  </fonts>
  <fills count="9">
    <fill>
      <patternFill patternType="none"/>
    </fill>
    <fill>
      <patternFill patternType="gray125"/>
    </fill>
    <fill>
      <patternFill patternType="solid">
        <fgColor rgb="FF0F243E"/>
      </patternFill>
    </fill>
    <fill>
      <patternFill patternType="solid">
        <fgColor rgb="FFD9E2F3"/>
      </patternFill>
    </fill>
    <fill>
      <patternFill patternType="solid">
        <fgColor rgb="FFD9E2F3"/>
      </patternFill>
    </fill>
    <fill>
      <patternFill patternType="solid">
        <fgColor rgb="FFE7E6E6"/>
      </patternFill>
    </fill>
    <fill>
      <patternFill patternType="solid">
        <fgColor rgb="FF0C2895"/>
        <bgColor indexed="64"/>
      </patternFill>
    </fill>
    <fill>
      <patternFill patternType="solid">
        <fgColor rgb="FF92AAFE"/>
        <bgColor indexed="64"/>
      </patternFill>
    </fill>
    <fill>
      <patternFill patternType="solid">
        <fgColor rgb="FFFFFF00"/>
        <bgColor indexed="64"/>
      </patternFill>
    </fill>
  </fills>
  <borders count="11">
    <border>
      <left/>
      <right/>
      <top/>
      <bottom/>
      <diagonal/>
    </border>
    <border>
      <left/>
      <right/>
      <top/>
      <bottom style="thin">
        <color rgb="FF808080"/>
      </bottom>
      <diagonal/>
    </border>
    <border>
      <left/>
      <right/>
      <top style="thin">
        <color rgb="FF808080"/>
      </top>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style="dotted">
        <color indexed="64"/>
      </right>
      <top style="thin">
        <color indexed="64"/>
      </top>
      <bottom/>
      <diagonal/>
    </border>
    <border>
      <left style="dotted">
        <color indexed="64"/>
      </left>
      <right style="dotted">
        <color indexed="64"/>
      </right>
      <top style="thin">
        <color indexed="64"/>
      </top>
      <bottom style="dotted">
        <color indexed="64"/>
      </bottom>
      <diagonal/>
    </border>
    <border>
      <left/>
      <right style="dotted">
        <color indexed="64"/>
      </right>
      <top/>
      <bottom/>
      <diagonal/>
    </border>
  </borders>
  <cellStyleXfs count="3">
    <xf numFmtId="0" fontId="0" fillId="0" borderId="0"/>
    <xf numFmtId="43" fontId="5" fillId="0" borderId="0" applyFont="0" applyFill="0" applyBorder="0" applyAlignment="0" applyProtection="0"/>
    <xf numFmtId="9" fontId="5" fillId="0" borderId="0" applyFont="0" applyFill="0" applyBorder="0" applyAlignment="0" applyProtection="0"/>
  </cellStyleXfs>
  <cellXfs count="85">
    <xf numFmtId="0" fontId="0" fillId="0" borderId="0" xfId="0"/>
    <xf numFmtId="0" fontId="3" fillId="3" borderId="1" xfId="0" applyFont="1" applyFill="1" applyBorder="1" applyAlignment="1">
      <alignment horizontal="right"/>
    </xf>
    <xf numFmtId="164" fontId="4" fillId="0" borderId="0" xfId="0" applyNumberFormat="1" applyFont="1"/>
    <xf numFmtId="0" fontId="0" fillId="0" borderId="0" xfId="0" applyAlignment="1">
      <alignment wrapText="1"/>
    </xf>
    <xf numFmtId="0" fontId="2" fillId="0" borderId="0" xfId="0" applyFont="1" applyAlignment="1">
      <alignment wrapText="1"/>
    </xf>
    <xf numFmtId="0" fontId="1" fillId="2" borderId="0" xfId="0" applyFont="1" applyFill="1" applyAlignment="1">
      <alignment horizontal="left"/>
    </xf>
    <xf numFmtId="0" fontId="6" fillId="0" borderId="0" xfId="0" applyFont="1"/>
    <xf numFmtId="0" fontId="6" fillId="0" borderId="0" xfId="0" applyFont="1" applyAlignment="1">
      <alignment wrapText="1"/>
    </xf>
    <xf numFmtId="0" fontId="8" fillId="6" borderId="0" xfId="0" applyFont="1" applyFill="1"/>
    <xf numFmtId="164" fontId="9" fillId="0" borderId="0" xfId="0" applyNumberFormat="1" applyFont="1"/>
    <xf numFmtId="164" fontId="6" fillId="0" borderId="0" xfId="0" applyNumberFormat="1" applyFont="1"/>
    <xf numFmtId="0" fontId="7" fillId="0" borderId="0" xfId="0" applyFont="1"/>
    <xf numFmtId="0" fontId="10" fillId="0" borderId="0" xfId="0" applyFont="1"/>
    <xf numFmtId="166" fontId="10" fillId="0" borderId="0" xfId="1" applyNumberFormat="1" applyFont="1"/>
    <xf numFmtId="0" fontId="11" fillId="2" borderId="0" xfId="0" applyFont="1" applyFill="1" applyAlignment="1">
      <alignment horizontal="left"/>
    </xf>
    <xf numFmtId="0" fontId="12" fillId="0" borderId="0" xfId="0" applyFont="1" applyAlignment="1">
      <alignment wrapText="1"/>
    </xf>
    <xf numFmtId="0" fontId="12" fillId="0" borderId="0" xfId="0" applyFont="1" applyAlignment="1">
      <alignment wrapText="1"/>
    </xf>
    <xf numFmtId="0" fontId="7" fillId="3" borderId="1" xfId="0" applyFont="1" applyFill="1" applyBorder="1" applyAlignment="1">
      <alignment horizontal="right"/>
    </xf>
    <xf numFmtId="0" fontId="7" fillId="0" borderId="2" xfId="0" applyFont="1" applyBorder="1"/>
    <xf numFmtId="164" fontId="9" fillId="0" borderId="2" xfId="0" applyNumberFormat="1" applyFont="1" applyBorder="1"/>
    <xf numFmtId="164" fontId="14" fillId="0" borderId="2" xfId="0" applyNumberFormat="1" applyFont="1" applyBorder="1"/>
    <xf numFmtId="0" fontId="13" fillId="6" borderId="0" xfId="0" applyFont="1" applyFill="1" applyAlignment="1">
      <alignment horizontal="left"/>
    </xf>
    <xf numFmtId="164" fontId="13" fillId="6" borderId="0" xfId="0" applyNumberFormat="1" applyFont="1" applyFill="1" applyAlignment="1">
      <alignment horizontal="left"/>
    </xf>
    <xf numFmtId="0" fontId="7" fillId="4" borderId="1" xfId="0" applyFont="1" applyFill="1" applyBorder="1" applyAlignment="1">
      <alignment horizontal="right"/>
    </xf>
    <xf numFmtId="0" fontId="7" fillId="4" borderId="0" xfId="0" applyFont="1" applyFill="1"/>
    <xf numFmtId="164" fontId="14" fillId="0" borderId="0" xfId="0" applyNumberFormat="1" applyFont="1"/>
    <xf numFmtId="164" fontId="15" fillId="0" borderId="2" xfId="0" applyNumberFormat="1" applyFont="1" applyBorder="1"/>
    <xf numFmtId="164" fontId="15" fillId="0" borderId="0" xfId="0" applyNumberFormat="1" applyFont="1"/>
    <xf numFmtId="0" fontId="16" fillId="5" borderId="0" xfId="0" applyFont="1" applyFill="1"/>
    <xf numFmtId="164" fontId="16" fillId="5" borderId="0" xfId="0" applyNumberFormat="1" applyFont="1" applyFill="1"/>
    <xf numFmtId="0" fontId="11" fillId="6" borderId="0" xfId="0" applyFont="1" applyFill="1" applyAlignment="1">
      <alignment horizontal="left"/>
    </xf>
    <xf numFmtId="0" fontId="17" fillId="0" borderId="7" xfId="0" applyFont="1" applyBorder="1" applyAlignment="1">
      <alignment horizontal="right"/>
    </xf>
    <xf numFmtId="0" fontId="8" fillId="6" borderId="0" xfId="0" applyFont="1" applyFill="1" applyAlignment="1">
      <alignment horizontal="right"/>
    </xf>
    <xf numFmtId="166" fontId="10" fillId="8" borderId="10" xfId="1" applyNumberFormat="1" applyFont="1" applyFill="1" applyBorder="1"/>
    <xf numFmtId="0" fontId="18" fillId="0" borderId="0" xfId="0" applyFont="1" applyAlignment="1">
      <alignment horizontal="left" indent="1"/>
    </xf>
    <xf numFmtId="166" fontId="19" fillId="8" borderId="10" xfId="1" applyNumberFormat="1" applyFont="1" applyFill="1" applyBorder="1"/>
    <xf numFmtId="165" fontId="19" fillId="0" borderId="0" xfId="2" applyNumberFormat="1" applyFont="1"/>
    <xf numFmtId="0" fontId="17" fillId="0" borderId="0" xfId="0" applyFont="1"/>
    <xf numFmtId="166" fontId="17" fillId="8" borderId="10" xfId="1" applyNumberFormat="1" applyFont="1" applyFill="1" applyBorder="1"/>
    <xf numFmtId="166" fontId="17" fillId="0" borderId="0" xfId="1" applyNumberFormat="1" applyFont="1"/>
    <xf numFmtId="0" fontId="10" fillId="8" borderId="10" xfId="0" applyFont="1" applyFill="1" applyBorder="1"/>
    <xf numFmtId="43" fontId="10" fillId="0" borderId="0" xfId="0" applyNumberFormat="1" applyFont="1"/>
    <xf numFmtId="165" fontId="19" fillId="8" borderId="10" xfId="2" applyNumberFormat="1" applyFont="1" applyFill="1" applyBorder="1"/>
    <xf numFmtId="165" fontId="17" fillId="8" borderId="10" xfId="2" applyNumberFormat="1" applyFont="1" applyFill="1" applyBorder="1"/>
    <xf numFmtId="165" fontId="17" fillId="0" borderId="0" xfId="0" applyNumberFormat="1" applyFont="1"/>
    <xf numFmtId="166" fontId="18" fillId="8" borderId="10" xfId="1" applyNumberFormat="1" applyFont="1" applyFill="1" applyBorder="1"/>
    <xf numFmtId="166" fontId="18" fillId="0" borderId="0" xfId="1" applyNumberFormat="1" applyFont="1"/>
    <xf numFmtId="166" fontId="18" fillId="8" borderId="10" xfId="0" applyNumberFormat="1" applyFont="1" applyFill="1" applyBorder="1"/>
    <xf numFmtId="165" fontId="18" fillId="0" borderId="0" xfId="2" applyNumberFormat="1" applyFont="1" applyAlignment="1">
      <alignment horizontal="left" indent="1"/>
    </xf>
    <xf numFmtId="165" fontId="18" fillId="8" borderId="10" xfId="2" applyNumberFormat="1" applyFont="1" applyFill="1" applyBorder="1"/>
    <xf numFmtId="165" fontId="18" fillId="0" borderId="0" xfId="2" applyNumberFormat="1" applyFont="1"/>
    <xf numFmtId="165" fontId="17" fillId="0" borderId="0" xfId="2" applyNumberFormat="1" applyFont="1"/>
    <xf numFmtId="166" fontId="17" fillId="0" borderId="0" xfId="0" applyNumberFormat="1" applyFont="1"/>
    <xf numFmtId="0" fontId="19" fillId="0" borderId="0" xfId="0" applyFont="1"/>
    <xf numFmtId="166" fontId="18" fillId="0" borderId="0" xfId="1" applyNumberFormat="1" applyFont="1" applyAlignment="1">
      <alignment horizontal="left"/>
    </xf>
    <xf numFmtId="167" fontId="10" fillId="8" borderId="10" xfId="0" applyNumberFormat="1" applyFont="1" applyFill="1" applyBorder="1"/>
    <xf numFmtId="0" fontId="20" fillId="8" borderId="10" xfId="0" applyFont="1" applyFill="1" applyBorder="1"/>
    <xf numFmtId="165" fontId="10" fillId="0" borderId="0" xfId="0" applyNumberFormat="1" applyFont="1"/>
    <xf numFmtId="165" fontId="10" fillId="0" borderId="0" xfId="2" applyNumberFormat="1" applyFont="1"/>
    <xf numFmtId="0" fontId="17" fillId="0" borderId="3" xfId="0" applyFont="1" applyBorder="1"/>
    <xf numFmtId="165" fontId="17" fillId="0" borderId="3" xfId="0" applyNumberFormat="1" applyFont="1" applyBorder="1"/>
    <xf numFmtId="165" fontId="17" fillId="0" borderId="3" xfId="2" applyNumberFormat="1" applyFont="1" applyBorder="1"/>
    <xf numFmtId="0" fontId="18" fillId="0" borderId="0" xfId="0" applyFont="1"/>
    <xf numFmtId="0" fontId="17" fillId="7" borderId="0" xfId="0" applyFont="1" applyFill="1"/>
    <xf numFmtId="0" fontId="17" fillId="7" borderId="0" xfId="0" applyFont="1" applyFill="1" applyAlignment="1">
      <alignment horizontal="center"/>
    </xf>
    <xf numFmtId="0" fontId="17" fillId="7" borderId="0" xfId="0" applyFont="1" applyFill="1" applyAlignment="1">
      <alignment horizontal="right"/>
    </xf>
    <xf numFmtId="0" fontId="10" fillId="0" borderId="3" xfId="0" applyFont="1" applyBorder="1"/>
    <xf numFmtId="164" fontId="21" fillId="0" borderId="0" xfId="0" applyNumberFormat="1" applyFont="1"/>
    <xf numFmtId="165" fontId="22" fillId="0" borderId="0" xfId="2" applyNumberFormat="1" applyFont="1"/>
    <xf numFmtId="165" fontId="23" fillId="0" borderId="0" xfId="2" applyNumberFormat="1" applyFont="1"/>
    <xf numFmtId="164" fontId="24" fillId="0" borderId="3" xfId="0" applyNumberFormat="1" applyFont="1" applyBorder="1"/>
    <xf numFmtId="166" fontId="17" fillId="0" borderId="3" xfId="0" applyNumberFormat="1" applyFont="1" applyBorder="1"/>
    <xf numFmtId="166" fontId="10" fillId="0" borderId="0" xfId="0" applyNumberFormat="1" applyFont="1"/>
    <xf numFmtId="166" fontId="17" fillId="0" borderId="3" xfId="1" applyNumberFormat="1" applyFont="1" applyBorder="1"/>
    <xf numFmtId="9" fontId="19" fillId="0" borderId="0" xfId="2" applyFont="1"/>
    <xf numFmtId="0" fontId="8" fillId="0" borderId="3" xfId="0" applyFont="1" applyBorder="1"/>
    <xf numFmtId="164" fontId="10" fillId="0" borderId="0" xfId="0" applyNumberFormat="1" applyFont="1"/>
    <xf numFmtId="166" fontId="10" fillId="0" borderId="3" xfId="1" applyNumberFormat="1" applyFont="1" applyBorder="1"/>
    <xf numFmtId="0" fontId="17" fillId="7" borderId="4" xfId="0" applyFont="1" applyFill="1" applyBorder="1"/>
    <xf numFmtId="0" fontId="17" fillId="7" borderId="5" xfId="0" applyFont="1" applyFill="1" applyBorder="1"/>
    <xf numFmtId="43" fontId="17" fillId="7" borderId="6" xfId="1" applyFont="1" applyFill="1" applyBorder="1"/>
    <xf numFmtId="0" fontId="10" fillId="0" borderId="8" xfId="0" applyFont="1" applyBorder="1"/>
    <xf numFmtId="0" fontId="10" fillId="8" borderId="9" xfId="0" applyFont="1" applyFill="1" applyBorder="1"/>
    <xf numFmtId="0" fontId="10" fillId="0" borderId="0" xfId="0" applyFont="1" applyAlignment="1">
      <alignment wrapText="1"/>
    </xf>
    <xf numFmtId="0" fontId="25" fillId="7" borderId="7" xfId="0" applyFont="1" applyFill="1" applyBorder="1" applyAlignment="1">
      <alignment horizontal="center"/>
    </xf>
  </cellXfs>
  <cellStyles count="3">
    <cellStyle name="Comma" xfId="1" builtinId="3"/>
    <cellStyle name="Normal" xfId="0" builtinId="0"/>
    <cellStyle name="Per cent" xfId="2" builtinId="5"/>
  </cellStyles>
  <dxfs count="4">
    <dxf>
      <fill>
        <patternFill patternType="solid">
          <bgColor rgb="FFD9EAD3"/>
        </patternFill>
      </fill>
    </dxf>
    <dxf>
      <fill>
        <patternFill patternType="solid">
          <bgColor rgb="FFF4CCCC"/>
        </patternFill>
      </fill>
    </dxf>
    <dxf>
      <fill>
        <patternFill>
          <bgColor rgb="FFD9EAD3"/>
        </patternFill>
      </fill>
    </dxf>
    <dxf>
      <fill>
        <patternFill>
          <bgColor rgb="FFF4CCCC"/>
        </patternFill>
      </fill>
    </dxf>
  </dxfs>
  <tableStyles count="0" defaultTableStyle="TableStyleMedium2" defaultPivotStyle="PivotStyleLight16"/>
  <colors>
    <mruColors>
      <color rgb="FF92AAFE"/>
      <color rgb="FF0C2895"/>
      <color rgb="FF1342FE"/>
      <color rgb="FF1797F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8E0A7-F048-BD46-A13E-2B5EBB283D17}">
  <dimension ref="B2:N46"/>
  <sheetViews>
    <sheetView showGridLines="0" zoomScale="106" zoomScaleNormal="137" workbookViewId="0">
      <selection activeCell="Q15" sqref="Q15"/>
    </sheetView>
  </sheetViews>
  <sheetFormatPr baseColWidth="10" defaultRowHeight="16"/>
  <cols>
    <col min="1" max="1" width="4.1640625" style="12" customWidth="1"/>
    <col min="2" max="2" width="23.83203125" style="12" bestFit="1" customWidth="1"/>
    <col min="3" max="3" width="8.83203125" style="12" customWidth="1"/>
    <col min="4" max="4" width="11.1640625" style="12" customWidth="1"/>
    <col min="5" max="5" width="8.83203125" style="12" customWidth="1"/>
    <col min="6" max="6" width="9.5" style="12" bestFit="1" customWidth="1"/>
    <col min="7" max="8" width="11" style="12" bestFit="1" customWidth="1"/>
    <col min="9" max="12" width="10.83203125" style="12"/>
    <col min="13" max="13" width="10.83203125" style="12" customWidth="1"/>
    <col min="14" max="16384" width="10.83203125" style="12"/>
  </cols>
  <sheetData>
    <row r="2" spans="2:14">
      <c r="B2" s="63"/>
      <c r="C2" s="63"/>
      <c r="D2" s="64" t="s">
        <v>2</v>
      </c>
      <c r="E2" s="63"/>
      <c r="F2" s="63">
        <v>2023</v>
      </c>
      <c r="G2" s="63">
        <v>2024</v>
      </c>
      <c r="H2" s="63">
        <v>2025</v>
      </c>
      <c r="I2" s="63">
        <v>2026</v>
      </c>
      <c r="J2" s="63">
        <v>2027</v>
      </c>
      <c r="K2" s="63">
        <v>2028</v>
      </c>
      <c r="L2" s="63">
        <v>2029</v>
      </c>
      <c r="M2" s="63">
        <v>2030</v>
      </c>
      <c r="N2" s="65" t="s">
        <v>176</v>
      </c>
    </row>
    <row r="3" spans="2:14">
      <c r="B3" s="66"/>
      <c r="C3" s="66"/>
      <c r="D3" s="66"/>
      <c r="E3" s="66"/>
      <c r="F3" s="66"/>
      <c r="G3" s="66"/>
      <c r="H3" s="66"/>
      <c r="I3" s="66"/>
      <c r="J3" s="66"/>
      <c r="K3" s="66"/>
      <c r="L3" s="66"/>
      <c r="M3" s="66"/>
      <c r="N3" s="66"/>
    </row>
    <row r="4" spans="2:14">
      <c r="B4" s="8" t="s">
        <v>177</v>
      </c>
      <c r="C4" s="8"/>
      <c r="D4" s="8"/>
      <c r="E4" s="8"/>
      <c r="F4" s="8"/>
      <c r="G4" s="8"/>
      <c r="H4" s="8"/>
      <c r="I4" s="8"/>
      <c r="J4" s="8"/>
      <c r="K4" s="8"/>
      <c r="L4" s="8"/>
      <c r="M4" s="8"/>
      <c r="N4" s="8"/>
    </row>
    <row r="5" spans="2:14">
      <c r="B5" s="12" t="s">
        <v>4</v>
      </c>
      <c r="F5" s="67">
        <f>'Historical 3-Statement'!D16</f>
        <v>30652</v>
      </c>
      <c r="G5" s="67">
        <f>'Historical 3-Statement'!E16</f>
        <v>27290</v>
      </c>
      <c r="H5" s="67">
        <f>'Historical 3-Statement'!F16</f>
        <v>18546</v>
      </c>
      <c r="I5" s="13">
        <f>Scenarios!D14</f>
        <v>18259.939999999999</v>
      </c>
      <c r="J5" s="13">
        <f>Scenarios!E14</f>
        <v>19072.595850000002</v>
      </c>
      <c r="K5" s="13">
        <f>Scenarios!F14</f>
        <v>19566.823634999997</v>
      </c>
      <c r="L5" s="13">
        <f>Scenarios!G14</f>
        <v>20128.419763874997</v>
      </c>
      <c r="M5" s="13">
        <f>Scenarios!H14</f>
        <v>20707.196708176874</v>
      </c>
      <c r="N5" s="13"/>
    </row>
    <row r="6" spans="2:14">
      <c r="B6" s="34" t="s">
        <v>172</v>
      </c>
      <c r="C6" s="62"/>
      <c r="D6" s="62"/>
      <c r="E6" s="62"/>
      <c r="F6" s="68">
        <v>-0.127</v>
      </c>
      <c r="G6" s="68">
        <f>G5/F5-1</f>
        <v>-0.10968289181782587</v>
      </c>
      <c r="H6" s="68">
        <f>H5/G5-1</f>
        <v>-0.32041040674239651</v>
      </c>
      <c r="I6" s="68">
        <f t="shared" ref="I6:M6" si="0">I5/H5-1</f>
        <v>-1.5424350264207964E-2</v>
      </c>
      <c r="J6" s="68">
        <f t="shared" si="0"/>
        <v>4.4504847770584277E-2</v>
      </c>
      <c r="K6" s="68">
        <f t="shared" si="0"/>
        <v>2.5912979485694709E-2</v>
      </c>
      <c r="L6" s="68">
        <f t="shared" si="0"/>
        <v>2.870144584277079E-2</v>
      </c>
      <c r="M6" s="68">
        <f t="shared" si="0"/>
        <v>2.8754216728956727E-2</v>
      </c>
    </row>
    <row r="7" spans="2:14">
      <c r="B7" s="12" t="s">
        <v>5</v>
      </c>
      <c r="F7" s="67">
        <f>'Full Historical 3-Statement'!D8</f>
        <v>9958</v>
      </c>
      <c r="G7" s="67">
        <f>'Full Historical 3-Statement'!E8</f>
        <v>8460</v>
      </c>
      <c r="H7" s="67">
        <f>'Full Historical 3-Statement'!F8</f>
        <v>6417</v>
      </c>
      <c r="I7" s="13">
        <f>Scenarios!D16</f>
        <v>8216.973</v>
      </c>
      <c r="J7" s="13">
        <f>Scenarios!E16</f>
        <v>8773.3940910000019</v>
      </c>
      <c r="K7" s="13">
        <f>Scenarios!F16</f>
        <v>9000.7388720999988</v>
      </c>
      <c r="L7" s="13">
        <f>Scenarios!G16</f>
        <v>9259.0730913824991</v>
      </c>
      <c r="M7" s="13">
        <f>Scenarios!H16</f>
        <v>9525.3104857613635</v>
      </c>
    </row>
    <row r="8" spans="2:14">
      <c r="B8" s="34" t="s">
        <v>173</v>
      </c>
      <c r="C8" s="62"/>
      <c r="D8" s="62"/>
      <c r="E8" s="62"/>
      <c r="F8" s="69">
        <f>F7/F5</f>
        <v>0.32487276523554742</v>
      </c>
      <c r="G8" s="69">
        <f>G7/G5</f>
        <v>0.31000366434591425</v>
      </c>
      <c r="H8" s="69">
        <f>H7/H5</f>
        <v>0.34600452927855063</v>
      </c>
      <c r="I8" s="69">
        <f t="shared" ref="I8:M8" si="1">I7/I5</f>
        <v>0.45</v>
      </c>
      <c r="J8" s="69">
        <f t="shared" si="1"/>
        <v>0.46000000000000008</v>
      </c>
      <c r="K8" s="69">
        <f t="shared" si="1"/>
        <v>0.46</v>
      </c>
      <c r="L8" s="69">
        <f t="shared" si="1"/>
        <v>0.46</v>
      </c>
      <c r="M8" s="69">
        <f t="shared" si="1"/>
        <v>0.46000000000000008</v>
      </c>
    </row>
    <row r="9" spans="2:14">
      <c r="B9" s="12" t="s">
        <v>6</v>
      </c>
      <c r="F9" s="67">
        <f>'Full Historical 3-Statement'!D9</f>
        <v>2790</v>
      </c>
      <c r="G9" s="67">
        <f>'Full Historical 3-Statement'!E9</f>
        <v>3175</v>
      </c>
      <c r="H9" s="67">
        <f>'Full Historical 3-Statement'!F9</f>
        <v>2382</v>
      </c>
      <c r="I9" s="13">
        <f>Scenarios!D19</f>
        <v>2282.4924999999998</v>
      </c>
      <c r="J9" s="13">
        <f>Scenarios!E19</f>
        <v>2288.7115020000001</v>
      </c>
      <c r="K9" s="13">
        <f>Scenarios!F19</f>
        <v>2250.1847180249997</v>
      </c>
      <c r="L9" s="13">
        <f>Scenarios!G19</f>
        <v>2214.1261740262498</v>
      </c>
      <c r="M9" s="13">
        <f>Scenarios!H19</f>
        <v>2277.7916378994564</v>
      </c>
    </row>
    <row r="10" spans="2:14">
      <c r="B10" s="34" t="s">
        <v>174</v>
      </c>
      <c r="C10" s="62"/>
      <c r="D10" s="62"/>
      <c r="E10" s="62"/>
      <c r="F10" s="69">
        <f>F9/F5</f>
        <v>9.1021793031449819E-2</v>
      </c>
      <c r="G10" s="69">
        <f>G9/G5</f>
        <v>0.1163429827775742</v>
      </c>
      <c r="H10" s="69">
        <f>H9/H5</f>
        <v>0.12843739890003236</v>
      </c>
      <c r="I10" s="69">
        <f t="shared" ref="I10:M10" si="2">I9/I5</f>
        <v>0.125</v>
      </c>
      <c r="J10" s="69">
        <f t="shared" si="2"/>
        <v>0.12</v>
      </c>
      <c r="K10" s="69">
        <f t="shared" si="2"/>
        <v>0.115</v>
      </c>
      <c r="L10" s="69">
        <f t="shared" si="2"/>
        <v>0.11</v>
      </c>
      <c r="M10" s="69">
        <f t="shared" si="2"/>
        <v>0.11000000000000001</v>
      </c>
    </row>
    <row r="11" spans="2:14">
      <c r="B11" s="59" t="s">
        <v>7</v>
      </c>
      <c r="C11" s="59"/>
      <c r="D11" s="59"/>
      <c r="E11" s="59"/>
      <c r="F11" s="70">
        <f>'Full Historical 3-Statement'!D10</f>
        <v>7168</v>
      </c>
      <c r="G11" s="70">
        <f>'Full Historical 3-Statement'!E10</f>
        <v>5285</v>
      </c>
      <c r="H11" s="70">
        <f>'Full Historical 3-Statement'!F10</f>
        <v>4035</v>
      </c>
      <c r="I11" s="71">
        <f>I7-I9</f>
        <v>5934.4804999999997</v>
      </c>
      <c r="J11" s="71">
        <f t="shared" ref="J11:M11" si="3">J7-J9</f>
        <v>6484.6825890000018</v>
      </c>
      <c r="K11" s="71">
        <f t="shared" si="3"/>
        <v>6750.5541540749991</v>
      </c>
      <c r="L11" s="71">
        <f t="shared" si="3"/>
        <v>7044.9469173562493</v>
      </c>
      <c r="M11" s="71">
        <f t="shared" si="3"/>
        <v>7247.5188478619075</v>
      </c>
      <c r="N11" s="66"/>
    </row>
    <row r="13" spans="2:14">
      <c r="B13" s="8" t="s">
        <v>178</v>
      </c>
      <c r="C13" s="8"/>
      <c r="D13" s="8"/>
      <c r="E13" s="8"/>
      <c r="F13" s="8"/>
      <c r="G13" s="8"/>
      <c r="H13" s="8"/>
      <c r="I13" s="8"/>
      <c r="J13" s="8"/>
      <c r="K13" s="8"/>
      <c r="L13" s="8"/>
      <c r="M13" s="8"/>
      <c r="N13" s="8"/>
    </row>
    <row r="14" spans="2:14">
      <c r="B14" s="12" t="s">
        <v>179</v>
      </c>
      <c r="F14" s="13">
        <f>-'Full Historical 3-Statement'!D27</f>
        <v>2251</v>
      </c>
      <c r="G14" s="13">
        <f>-'Full Historical 3-Statement'!E27</f>
        <v>1864</v>
      </c>
      <c r="H14" s="13">
        <f>-'Full Historical 3-Statement'!F27</f>
        <v>1587</v>
      </c>
      <c r="I14" s="72">
        <f>I11*I15</f>
        <v>2373.7921999999999</v>
      </c>
      <c r="J14" s="72">
        <f t="shared" ref="J14:M14" si="4">J11*J15</f>
        <v>2593.873035600001</v>
      </c>
      <c r="K14" s="72">
        <f t="shared" si="4"/>
        <v>2700.2216616299997</v>
      </c>
      <c r="L14" s="72">
        <f t="shared" si="4"/>
        <v>2817.9787669425</v>
      </c>
      <c r="M14" s="72">
        <f t="shared" si="4"/>
        <v>2899.0075391447631</v>
      </c>
    </row>
    <row r="15" spans="2:14">
      <c r="B15" s="12" t="s">
        <v>180</v>
      </c>
      <c r="F15" s="36">
        <f>F14/F11</f>
        <v>0.3140345982142857</v>
      </c>
      <c r="G15" s="36">
        <f t="shared" ref="G15:H15" si="5">G14/G11</f>
        <v>0.35269631031220433</v>
      </c>
      <c r="H15" s="36">
        <f t="shared" si="5"/>
        <v>0.39330855018587363</v>
      </c>
      <c r="I15" s="58">
        <f>Scenarios!D22</f>
        <v>0.4</v>
      </c>
      <c r="J15" s="58">
        <f>Scenarios!E22</f>
        <v>0.4</v>
      </c>
      <c r="K15" s="58">
        <f>Scenarios!F22</f>
        <v>0.4</v>
      </c>
      <c r="L15" s="58">
        <f>Scenarios!G22</f>
        <v>0.4</v>
      </c>
      <c r="M15" s="58">
        <f>Scenarios!H22</f>
        <v>0.4</v>
      </c>
    </row>
    <row r="16" spans="2:14">
      <c r="B16" s="59" t="s">
        <v>181</v>
      </c>
      <c r="C16" s="59"/>
      <c r="D16" s="59"/>
      <c r="E16" s="59"/>
      <c r="F16" s="73">
        <f>F11-F14</f>
        <v>4917</v>
      </c>
      <c r="G16" s="73">
        <f t="shared" ref="G16:H16" si="6">G11-G14</f>
        <v>3421</v>
      </c>
      <c r="H16" s="73">
        <f t="shared" si="6"/>
        <v>2448</v>
      </c>
      <c r="I16" s="73">
        <f>I11-I14</f>
        <v>3560.6882999999998</v>
      </c>
      <c r="J16" s="73">
        <f t="shared" ref="J16:M16" si="7">J11-J14</f>
        <v>3890.8095534000008</v>
      </c>
      <c r="K16" s="73">
        <f t="shared" si="7"/>
        <v>4050.3324924449994</v>
      </c>
      <c r="L16" s="73">
        <f t="shared" si="7"/>
        <v>4226.9681504137498</v>
      </c>
      <c r="M16" s="73">
        <f t="shared" si="7"/>
        <v>4348.5113087171449</v>
      </c>
      <c r="N16" s="73"/>
    </row>
    <row r="17" spans="2:14">
      <c r="F17" s="72"/>
    </row>
    <row r="18" spans="2:14">
      <c r="B18" s="8" t="s">
        <v>182</v>
      </c>
      <c r="C18" s="8"/>
      <c r="D18" s="8"/>
      <c r="E18" s="8"/>
      <c r="F18" s="8"/>
      <c r="G18" s="8"/>
      <c r="H18" s="8"/>
      <c r="I18" s="8"/>
      <c r="J18" s="8"/>
      <c r="K18" s="8"/>
      <c r="L18" s="8"/>
      <c r="M18" s="8"/>
      <c r="N18" s="8"/>
    </row>
    <row r="19" spans="2:14">
      <c r="B19" s="12" t="s">
        <v>12</v>
      </c>
      <c r="F19" s="13">
        <f>-'Full Historical 3-Statement'!D11</f>
        <v>5734</v>
      </c>
      <c r="G19" s="13">
        <f>-'Full Historical 3-Statement'!E11</f>
        <v>5490</v>
      </c>
      <c r="H19" s="13">
        <f>-'Full Historical 3-Statement'!F11</f>
        <v>3322</v>
      </c>
      <c r="I19" s="13">
        <f>Scenarios!D24</f>
        <v>3100</v>
      </c>
      <c r="J19" s="13">
        <f>Scenarios!E24</f>
        <v>2900</v>
      </c>
      <c r="K19" s="13">
        <f>Scenarios!F24</f>
        <v>2600</v>
      </c>
      <c r="L19" s="13">
        <f>Scenarios!G24</f>
        <v>2400</v>
      </c>
      <c r="M19" s="13">
        <f>Scenarios!H24</f>
        <v>2200</v>
      </c>
    </row>
    <row r="20" spans="2:14">
      <c r="B20" s="34" t="s">
        <v>183</v>
      </c>
      <c r="F20" s="36">
        <f>F19/F5</f>
        <v>0.18706772804384705</v>
      </c>
      <c r="G20" s="36">
        <f t="shared" ref="G20:M20" si="8">G19/G5</f>
        <v>0.20117259069256138</v>
      </c>
      <c r="H20" s="36">
        <f t="shared" si="8"/>
        <v>0.17912218268090155</v>
      </c>
      <c r="I20" s="36">
        <f t="shared" si="8"/>
        <v>0.16977054689117271</v>
      </c>
      <c r="J20" s="36">
        <f t="shared" si="8"/>
        <v>0.15205061874154902</v>
      </c>
      <c r="K20" s="36">
        <f t="shared" si="8"/>
        <v>0.13287798001865112</v>
      </c>
      <c r="L20" s="36">
        <f t="shared" si="8"/>
        <v>0.11923439734237573</v>
      </c>
      <c r="M20" s="36">
        <f t="shared" si="8"/>
        <v>0.10624325595609289</v>
      </c>
      <c r="N20" s="74"/>
    </row>
    <row r="21" spans="2:14">
      <c r="B21" s="12" t="s">
        <v>184</v>
      </c>
      <c r="F21" s="13">
        <f>'Full Historical 3-Statement'!D105</f>
        <v>6387</v>
      </c>
      <c r="G21" s="13">
        <f>'Full Historical 3-Statement'!E105</f>
        <v>5247</v>
      </c>
      <c r="H21" s="13">
        <f>'Full Historical 3-Statement'!F105</f>
        <v>3013</v>
      </c>
      <c r="I21" s="13">
        <f>Scenarios!D27</f>
        <v>2901.5795068493153</v>
      </c>
      <c r="J21" s="13">
        <f>Scenarios!E27</f>
        <v>2978.4601738356168</v>
      </c>
      <c r="K21" s="13">
        <f>Scenarios!F27</f>
        <v>3055.6409512191776</v>
      </c>
      <c r="L21" s="13">
        <f>Scenarios!G27</f>
        <v>3143.3422644955476</v>
      </c>
      <c r="M21" s="13">
        <f>Scenarios!H27</f>
        <v>3233.7266092221416</v>
      </c>
    </row>
    <row r="22" spans="2:14">
      <c r="B22" s="12" t="s">
        <v>185</v>
      </c>
      <c r="F22" s="13">
        <f>'Full Historical 3-Statement'!D106</f>
        <v>4516</v>
      </c>
      <c r="G22" s="13">
        <f>'Full Historical 3-Statement'!E106</f>
        <v>3228</v>
      </c>
      <c r="H22" s="13">
        <f>'Full Historical 3-Statement'!F106</f>
        <v>3748</v>
      </c>
      <c r="I22" s="13">
        <f>Scenarios!D29</f>
        <v>3702.0152328767117</v>
      </c>
      <c r="J22" s="13">
        <f>Scenarios!E29</f>
        <v>3814.5191700000005</v>
      </c>
      <c r="K22" s="13">
        <f>Scenarios!F29</f>
        <v>3913.3647269999992</v>
      </c>
      <c r="L22" s="13">
        <f>Scenarios!G29</f>
        <v>4025.6839527749994</v>
      </c>
      <c r="M22" s="13">
        <f>Scenarios!H29</f>
        <v>4141.4393416353751</v>
      </c>
    </row>
    <row r="23" spans="2:14">
      <c r="B23" s="12" t="s">
        <v>186</v>
      </c>
      <c r="F23" s="13">
        <f>-'Full Historical 3-Statement'!D116</f>
        <v>6511</v>
      </c>
      <c r="G23" s="13">
        <f>-'Full Historical 3-Statement'!E116</f>
        <v>6092</v>
      </c>
      <c r="H23" s="13">
        <f>-'Full Historical 3-Statement'!F116</f>
        <v>4879</v>
      </c>
      <c r="I23" s="13">
        <f>Scenarios!D31</f>
        <v>5046.0856986301369</v>
      </c>
      <c r="J23" s="13">
        <f>Scenarios!E31</f>
        <v>5147.4926131506854</v>
      </c>
      <c r="K23" s="13">
        <f>Scenarios!F31</f>
        <v>5301.9173915452056</v>
      </c>
      <c r="L23" s="13">
        <f>Scenarios!G31</f>
        <v>5460.9749132915613</v>
      </c>
      <c r="M23" s="13">
        <f>Scenarios!H31</f>
        <v>5624.804160690308</v>
      </c>
    </row>
    <row r="24" spans="2:14">
      <c r="B24" s="59" t="s">
        <v>187</v>
      </c>
      <c r="C24" s="59"/>
      <c r="D24" s="59"/>
      <c r="E24" s="75">
        <f>'Full Historical 3-Statement'!C105+'Full Historical 3-Statement'!C106+'Full Historical 3-Statement'!C116</f>
        <v>3701</v>
      </c>
      <c r="F24" s="73">
        <f>F21+F22-F23</f>
        <v>4392</v>
      </c>
      <c r="G24" s="73">
        <f t="shared" ref="G24:M24" si="9">G21+G22-G23</f>
        <v>2383</v>
      </c>
      <c r="H24" s="73">
        <f t="shared" si="9"/>
        <v>1882</v>
      </c>
      <c r="I24" s="73">
        <f t="shared" si="9"/>
        <v>1557.5090410958901</v>
      </c>
      <c r="J24" s="73">
        <f t="shared" si="9"/>
        <v>1645.4867306849319</v>
      </c>
      <c r="K24" s="73">
        <f t="shared" si="9"/>
        <v>1667.0882866739712</v>
      </c>
      <c r="L24" s="73">
        <f t="shared" si="9"/>
        <v>1708.0513039789857</v>
      </c>
      <c r="M24" s="73">
        <f t="shared" si="9"/>
        <v>1750.3617901672087</v>
      </c>
      <c r="N24" s="59"/>
    </row>
    <row r="25" spans="2:14">
      <c r="B25" s="34" t="s">
        <v>188</v>
      </c>
      <c r="F25" s="36">
        <f>F24/F5</f>
        <v>0.14328591935273391</v>
      </c>
      <c r="G25" s="36">
        <f t="shared" ref="G25:M25" si="10">G24/G5</f>
        <v>8.7321363136680097E-2</v>
      </c>
      <c r="H25" s="36">
        <f t="shared" si="10"/>
        <v>0.10147740752722959</v>
      </c>
      <c r="I25" s="36">
        <f t="shared" si="10"/>
        <v>8.5296503772514604E-2</v>
      </c>
      <c r="J25" s="36">
        <f t="shared" si="10"/>
        <v>8.6274922597121551E-2</v>
      </c>
      <c r="K25" s="36">
        <f t="shared" si="10"/>
        <v>8.5199740017688944E-2</v>
      </c>
      <c r="L25" s="36">
        <f t="shared" si="10"/>
        <v>8.4857694941580575E-2</v>
      </c>
      <c r="M25" s="36">
        <f t="shared" si="10"/>
        <v>8.4529152585681694E-2</v>
      </c>
      <c r="N25" s="74"/>
    </row>
    <row r="27" spans="2:14">
      <c r="B27" s="8" t="s">
        <v>189</v>
      </c>
      <c r="C27" s="8"/>
      <c r="D27" s="8"/>
      <c r="E27" s="8"/>
      <c r="F27" s="8"/>
      <c r="G27" s="8"/>
      <c r="H27" s="8"/>
      <c r="I27" s="8"/>
      <c r="J27" s="8"/>
      <c r="K27" s="8"/>
      <c r="L27" s="8"/>
      <c r="M27" s="8"/>
      <c r="N27" s="8"/>
    </row>
    <row r="28" spans="2:14">
      <c r="B28" s="12" t="s">
        <v>191</v>
      </c>
      <c r="F28" s="13">
        <f>F24-E24</f>
        <v>691</v>
      </c>
      <c r="G28" s="13">
        <f t="shared" ref="G28:M28" si="11">G24-F24</f>
        <v>-2009</v>
      </c>
      <c r="H28" s="13">
        <f t="shared" si="11"/>
        <v>-501</v>
      </c>
      <c r="I28" s="13">
        <f t="shared" si="11"/>
        <v>-324.4909589041099</v>
      </c>
      <c r="J28" s="13">
        <f>J24-I24</f>
        <v>87.977689589041802</v>
      </c>
      <c r="K28" s="13">
        <f t="shared" si="11"/>
        <v>21.601555989039298</v>
      </c>
      <c r="L28" s="13">
        <f t="shared" si="11"/>
        <v>40.963017305014546</v>
      </c>
      <c r="M28" s="13">
        <f t="shared" si="11"/>
        <v>42.310486188222967</v>
      </c>
      <c r="N28" s="13"/>
    </row>
    <row r="29" spans="2:14">
      <c r="B29" s="12" t="s">
        <v>190</v>
      </c>
      <c r="F29" s="76">
        <f t="shared" ref="F29:M29" si="12">F16+F9-F19-F28</f>
        <v>1282</v>
      </c>
      <c r="G29" s="76">
        <f t="shared" si="12"/>
        <v>3115</v>
      </c>
      <c r="H29" s="76">
        <f t="shared" si="12"/>
        <v>2009</v>
      </c>
      <c r="I29" s="76">
        <f t="shared" si="12"/>
        <v>3067.67175890411</v>
      </c>
      <c r="J29" s="76">
        <f t="shared" si="12"/>
        <v>3191.5433658109587</v>
      </c>
      <c r="K29" s="76">
        <f t="shared" si="12"/>
        <v>3678.9156544809603</v>
      </c>
      <c r="L29" s="76">
        <f t="shared" si="12"/>
        <v>4000.131307134985</v>
      </c>
      <c r="M29" s="76">
        <f t="shared" si="12"/>
        <v>4383.9924604283779</v>
      </c>
      <c r="N29" s="13">
        <f>M29*(1+Assumptions!E3)</f>
        <v>4471.6723096369451</v>
      </c>
    </row>
    <row r="31" spans="2:14">
      <c r="B31" s="8" t="s">
        <v>192</v>
      </c>
      <c r="C31" s="8"/>
      <c r="D31" s="8"/>
      <c r="E31" s="8"/>
      <c r="F31" s="8"/>
      <c r="G31" s="8"/>
      <c r="H31" s="8"/>
      <c r="I31" s="8"/>
      <c r="J31" s="8"/>
      <c r="K31" s="8"/>
      <c r="L31" s="8"/>
      <c r="M31" s="8"/>
      <c r="N31" s="8"/>
    </row>
    <row r="32" spans="2:14">
      <c r="B32" s="12" t="s">
        <v>193</v>
      </c>
      <c r="I32" s="13">
        <f>I29</f>
        <v>3067.67175890411</v>
      </c>
      <c r="J32" s="13">
        <f t="shared" ref="J32:N32" si="13">J29</f>
        <v>3191.5433658109587</v>
      </c>
      <c r="K32" s="13">
        <f t="shared" si="13"/>
        <v>3678.9156544809603</v>
      </c>
      <c r="L32" s="13">
        <f t="shared" si="13"/>
        <v>4000.131307134985</v>
      </c>
      <c r="M32" s="13">
        <f t="shared" si="13"/>
        <v>4383.9924604283779</v>
      </c>
      <c r="N32" s="13">
        <f t="shared" si="13"/>
        <v>4471.6723096369451</v>
      </c>
    </row>
    <row r="33" spans="2:14">
      <c r="B33" s="12" t="s">
        <v>194</v>
      </c>
      <c r="M33" s="13"/>
      <c r="N33" s="13">
        <f>N29/(Assumptions!E4-Assumptions!E3)</f>
        <v>60803.73434781476</v>
      </c>
    </row>
    <row r="35" spans="2:14">
      <c r="B35" s="8" t="s">
        <v>214</v>
      </c>
      <c r="C35" s="8"/>
      <c r="D35" s="8"/>
    </row>
    <row r="36" spans="2:14">
      <c r="B36" s="12" t="s">
        <v>215</v>
      </c>
      <c r="D36" s="13">
        <f>NPV(Assumptions!E4,DCF!I32,DCF!J32,DCF!K32,DCF!L32,DCF!M32)</f>
        <v>13888.106749262564</v>
      </c>
    </row>
    <row r="37" spans="2:14">
      <c r="B37" s="12" t="s">
        <v>216</v>
      </c>
      <c r="D37" s="13">
        <f>N33/(1+Assumptions!E4)^5</f>
        <v>38882.257719395289</v>
      </c>
    </row>
    <row r="38" spans="2:14">
      <c r="B38" s="59" t="s">
        <v>217</v>
      </c>
      <c r="C38" s="59"/>
      <c r="D38" s="73">
        <f>SUM(D36:D37)</f>
        <v>52770.364468657855</v>
      </c>
    </row>
    <row r="39" spans="2:14">
      <c r="D39" s="41"/>
    </row>
    <row r="40" spans="2:14">
      <c r="B40" s="8" t="s">
        <v>218</v>
      </c>
      <c r="C40" s="8"/>
      <c r="D40" s="8"/>
    </row>
    <row r="41" spans="2:14">
      <c r="B41" s="12" t="s">
        <v>217</v>
      </c>
      <c r="D41" s="13">
        <f>D38</f>
        <v>52770.364468657855</v>
      </c>
    </row>
    <row r="42" spans="2:14">
      <c r="B42" s="12" t="s">
        <v>74</v>
      </c>
      <c r="D42" s="13">
        <f>-('Full Historical 3-Statement'!F117+'Full Historical 3-Statement'!F125)-'Full Historical 3-Statement'!F110</f>
        <v>9045</v>
      </c>
    </row>
    <row r="43" spans="2:14">
      <c r="B43" s="66" t="s">
        <v>219</v>
      </c>
      <c r="C43" s="66"/>
      <c r="D43" s="77">
        <f>D41-D42</f>
        <v>43725.364468657855</v>
      </c>
    </row>
    <row r="44" spans="2:14">
      <c r="B44" s="12" t="s">
        <v>207</v>
      </c>
      <c r="D44" s="13">
        <f>Assumptions!E19</f>
        <v>1131</v>
      </c>
    </row>
    <row r="45" spans="2:14">
      <c r="B45" s="78" t="s">
        <v>220</v>
      </c>
      <c r="C45" s="79"/>
      <c r="D45" s="80">
        <f>D43/D44</f>
        <v>38.660799707036126</v>
      </c>
    </row>
    <row r="46" spans="2:14">
      <c r="B46" s="12" t="s">
        <v>256</v>
      </c>
      <c r="C46" s="81"/>
      <c r="D46" s="82">
        <v>1</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2EB478EF-5142-9843-9800-83616D9A2981}">
          <x14:formula1>
            <xm:f>Scenarios!J3:J5</xm:f>
          </x14:formula1>
          <xm:sqref>D46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AFD25-E24B-7843-8ACB-5E9EA8987CC0}">
  <dimension ref="B2:E28"/>
  <sheetViews>
    <sheetView showGridLines="0" workbookViewId="0">
      <selection activeCell="D38" sqref="D38"/>
    </sheetView>
  </sheetViews>
  <sheetFormatPr baseColWidth="10" defaultRowHeight="16"/>
  <cols>
    <col min="1" max="1" width="5" style="12" customWidth="1"/>
    <col min="2" max="2" width="14.33203125" style="12" bestFit="1" customWidth="1"/>
    <col min="3" max="4" width="14.33203125" style="12" customWidth="1"/>
    <col min="5" max="5" width="9" style="12" customWidth="1"/>
    <col min="6" max="7" width="6.83203125" style="12" customWidth="1"/>
    <col min="8" max="8" width="30.83203125" style="12" customWidth="1"/>
    <col min="9" max="9" width="12.1640625" style="12" bestFit="1" customWidth="1"/>
    <col min="10" max="16384" width="10.83203125" style="12"/>
  </cols>
  <sheetData>
    <row r="2" spans="2:5" s="12" customFormat="1">
      <c r="B2" s="8" t="s">
        <v>195</v>
      </c>
      <c r="C2" s="8"/>
      <c r="D2" s="8"/>
      <c r="E2" s="8"/>
    </row>
    <row r="3" spans="2:5" s="12" customFormat="1">
      <c r="B3" s="12" t="s">
        <v>196</v>
      </c>
      <c r="E3" s="57">
        <v>0.02</v>
      </c>
    </row>
    <row r="4" spans="2:5" s="12" customFormat="1">
      <c r="B4" s="12" t="s">
        <v>221</v>
      </c>
      <c r="E4" s="58">
        <f>(E21*E10)+(E28*E15)</f>
        <v>9.3542724926362258E-2</v>
      </c>
    </row>
    <row r="6" spans="2:5" s="12" customFormat="1">
      <c r="B6" s="8" t="s">
        <v>197</v>
      </c>
      <c r="C6" s="8"/>
      <c r="D6" s="8"/>
      <c r="E6" s="8"/>
    </row>
    <row r="7" spans="2:5" s="12" customFormat="1">
      <c r="B7" s="12" t="s">
        <v>198</v>
      </c>
      <c r="E7" s="57">
        <v>0.05</v>
      </c>
    </row>
    <row r="8" spans="2:5" s="12" customFormat="1">
      <c r="B8" s="12" t="s">
        <v>199</v>
      </c>
      <c r="E8" s="12">
        <v>0.97</v>
      </c>
    </row>
    <row r="9" spans="2:5" s="12" customFormat="1">
      <c r="B9" s="12" t="s">
        <v>200</v>
      </c>
      <c r="E9" s="57">
        <v>0.06</v>
      </c>
    </row>
    <row r="10" spans="2:5" s="12" customFormat="1">
      <c r="B10" s="59" t="s">
        <v>201</v>
      </c>
      <c r="C10" s="59"/>
      <c r="D10" s="59"/>
      <c r="E10" s="60">
        <f>E7+(E8*E9)</f>
        <v>0.10819999999999999</v>
      </c>
    </row>
    <row r="12" spans="2:5" s="12" customFormat="1">
      <c r="B12" s="8" t="s">
        <v>202</v>
      </c>
      <c r="C12" s="8"/>
      <c r="D12" s="8"/>
      <c r="E12" s="8"/>
    </row>
    <row r="13" spans="2:5" s="12" customFormat="1">
      <c r="B13" s="12" t="s">
        <v>203</v>
      </c>
      <c r="E13" s="57">
        <f>E25</f>
        <v>5.5681157547962018E-2</v>
      </c>
    </row>
    <row r="14" spans="2:5" s="12" customFormat="1">
      <c r="B14" s="12" t="s">
        <v>180</v>
      </c>
      <c r="E14" s="58">
        <f>DCF!H15</f>
        <v>0.39330855018587363</v>
      </c>
    </row>
    <row r="15" spans="2:5" s="12" customFormat="1">
      <c r="B15" s="59" t="s">
        <v>204</v>
      </c>
      <c r="C15" s="59"/>
      <c r="D15" s="59"/>
      <c r="E15" s="61">
        <f>E13*(1-E14)</f>
        <v>3.3781282200101861E-2</v>
      </c>
    </row>
    <row r="16" spans="2:5" s="12" customFormat="1"/>
    <row r="17" spans="2:5" s="12" customFormat="1">
      <c r="B17" s="8" t="s">
        <v>205</v>
      </c>
      <c r="C17" s="8"/>
      <c r="D17" s="8"/>
      <c r="E17" s="8"/>
    </row>
    <row r="18" spans="2:5" s="12" customFormat="1">
      <c r="B18" s="12" t="s">
        <v>206</v>
      </c>
      <c r="E18" s="13">
        <f>(4134/100)*1.35</f>
        <v>55.809000000000012</v>
      </c>
    </row>
    <row r="19" spans="2:5" s="12" customFormat="1">
      <c r="B19" s="12" t="s">
        <v>207</v>
      </c>
      <c r="E19" s="13">
        <v>1131</v>
      </c>
    </row>
    <row r="20" spans="2:5" s="12" customFormat="1">
      <c r="B20" s="12" t="s">
        <v>208</v>
      </c>
      <c r="E20" s="13">
        <f>E18*E19</f>
        <v>63119.979000000014</v>
      </c>
    </row>
    <row r="21" spans="2:5" s="12" customFormat="1">
      <c r="B21" s="34" t="s">
        <v>209</v>
      </c>
      <c r="C21" s="62"/>
      <c r="D21" s="62"/>
      <c r="E21" s="50">
        <f>E20/(E20+E27)</f>
        <v>0.80304316565828016</v>
      </c>
    </row>
    <row r="22" spans="2:5" s="12" customFormat="1" ht="7" customHeight="1"/>
    <row r="23" spans="2:5" s="12" customFormat="1">
      <c r="B23" s="12" t="s">
        <v>81</v>
      </c>
      <c r="E23" s="13">
        <f>-'Full Historical 3-Statement'!F23</f>
        <v>862</v>
      </c>
    </row>
    <row r="24" spans="2:5" s="12" customFormat="1">
      <c r="B24" s="12" t="s">
        <v>211</v>
      </c>
      <c r="E24" s="13">
        <f>(-'Full Historical 3-Statement'!F125-'Full Historical 3-Statement'!F117)</f>
        <v>15481</v>
      </c>
    </row>
    <row r="25" spans="2:5" s="12" customFormat="1">
      <c r="B25" s="12" t="s">
        <v>210</v>
      </c>
      <c r="E25" s="58">
        <f>E23/E24</f>
        <v>5.5681157547962018E-2</v>
      </c>
    </row>
    <row r="26" spans="2:5" s="12" customFormat="1">
      <c r="B26" s="12" t="s">
        <v>212</v>
      </c>
      <c r="E26" s="13">
        <v>8</v>
      </c>
    </row>
    <row r="27" spans="2:5" s="12" customFormat="1">
      <c r="B27" s="12" t="s">
        <v>213</v>
      </c>
      <c r="E27" s="13">
        <f>-PV(E25,E26,E23,E24)</f>
        <v>15481</v>
      </c>
    </row>
    <row r="28" spans="2:5" s="12" customFormat="1">
      <c r="B28" s="34" t="s">
        <v>209</v>
      </c>
      <c r="C28" s="62"/>
      <c r="D28" s="62"/>
      <c r="E28" s="50">
        <f>E27/(E20+E27)</f>
        <v>0.19695683434171979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AA065-E256-A94E-AA77-192945E7D4E7}">
  <dimension ref="B2:J129"/>
  <sheetViews>
    <sheetView showGridLines="0" tabSelected="1" topLeftCell="A40" zoomScale="92" workbookViewId="0">
      <selection activeCell="J85" sqref="J85"/>
    </sheetView>
  </sheetViews>
  <sheetFormatPr baseColWidth="10" defaultRowHeight="16"/>
  <cols>
    <col min="1" max="1" width="3.83203125" style="12" customWidth="1"/>
    <col min="2" max="2" width="28.33203125" style="12" bestFit="1" customWidth="1"/>
    <col min="3" max="8" width="10.83203125" style="12"/>
    <col min="9" max="9" width="5.5" style="12" customWidth="1"/>
    <col min="10" max="16384" width="10.83203125" style="12"/>
  </cols>
  <sheetData>
    <row r="2" spans="2:10">
      <c r="B2" s="84" t="s">
        <v>252</v>
      </c>
      <c r="C2" s="84"/>
      <c r="D2" s="84"/>
      <c r="E2" s="84"/>
      <c r="F2" s="84"/>
      <c r="G2" s="84"/>
      <c r="H2" s="84"/>
      <c r="J2" s="31" t="s">
        <v>255</v>
      </c>
    </row>
    <row r="3" spans="2:10">
      <c r="B3" s="8"/>
      <c r="C3" s="32" t="s">
        <v>71</v>
      </c>
      <c r="D3" s="32" t="s">
        <v>175</v>
      </c>
      <c r="E3" s="32" t="s">
        <v>230</v>
      </c>
      <c r="F3" s="32" t="s">
        <v>231</v>
      </c>
      <c r="G3" s="32" t="s">
        <v>232</v>
      </c>
      <c r="H3" s="32" t="s">
        <v>233</v>
      </c>
      <c r="J3" s="12">
        <v>1</v>
      </c>
    </row>
    <row r="4" spans="2:10">
      <c r="B4" s="12" t="s">
        <v>225</v>
      </c>
      <c r="C4" s="33">
        <v>8122</v>
      </c>
      <c r="D4" s="13">
        <f>C4*(1+D5)</f>
        <v>10233.719999999999</v>
      </c>
      <c r="E4" s="13">
        <f>D4*(1+E5)</f>
        <v>10745.405999999999</v>
      </c>
      <c r="F4" s="13">
        <f>E4*(1+F5)</f>
        <v>11282.676299999999</v>
      </c>
      <c r="G4" s="13">
        <f>F4*(1+G5)</f>
        <v>11677.569970499999</v>
      </c>
      <c r="H4" s="13">
        <f>G4*(1+H5)</f>
        <v>12086.284919467498</v>
      </c>
      <c r="J4" s="12">
        <v>2</v>
      </c>
    </row>
    <row r="5" spans="2:10">
      <c r="B5" s="34" t="s">
        <v>234</v>
      </c>
      <c r="C5" s="35"/>
      <c r="D5" s="36">
        <f>CHOOSE(DCF!$D$46,Scenarios!D37,Scenarios!D69,Scenarios!D102)</f>
        <v>0.26</v>
      </c>
      <c r="E5" s="36">
        <f>CHOOSE(DCF!$D$46,Scenarios!E37,Scenarios!E69,Scenarios!E102)</f>
        <v>0.05</v>
      </c>
      <c r="F5" s="36">
        <f>CHOOSE(DCF!$D$46,Scenarios!F37,Scenarios!F69,Scenarios!F102)</f>
        <v>0.05</v>
      </c>
      <c r="G5" s="36">
        <f>CHOOSE(DCF!$D$46,Scenarios!G37,Scenarios!G69,Scenarios!G102)</f>
        <v>3.5000000000000003E-2</v>
      </c>
      <c r="H5" s="36">
        <f>CHOOSE(DCF!$D$46,Scenarios!H37,Scenarios!H69,Scenarios!H102)</f>
        <v>3.5000000000000003E-2</v>
      </c>
      <c r="J5" s="12">
        <v>3</v>
      </c>
    </row>
    <row r="6" spans="2:10">
      <c r="B6" s="12" t="s">
        <v>226</v>
      </c>
      <c r="C6" s="33">
        <v>6651</v>
      </c>
      <c r="D6" s="13">
        <f>C6*(1+D7)</f>
        <v>6717.51</v>
      </c>
      <c r="E6" s="13">
        <f>D6*(1+E7)</f>
        <v>6986.2104000000008</v>
      </c>
      <c r="F6" s="13">
        <f>E6*(1+F7)</f>
        <v>6916.348296000001</v>
      </c>
      <c r="G6" s="13">
        <f>F6*(1+G7)</f>
        <v>7054.6752619200015</v>
      </c>
      <c r="H6" s="13">
        <f>G6*(1+H7)</f>
        <v>7195.7687671584017</v>
      </c>
    </row>
    <row r="7" spans="2:10">
      <c r="B7" s="34" t="s">
        <v>235</v>
      </c>
      <c r="C7" s="35"/>
      <c r="D7" s="36">
        <f>CHOOSE(DCF!$D$46,Scenarios!D39,Scenarios!D71,Scenarios!D104)</f>
        <v>0.01</v>
      </c>
      <c r="E7" s="36">
        <f>CHOOSE(DCF!$D$46,Scenarios!E39,Scenarios!E71,Scenarios!E104)</f>
        <v>0.04</v>
      </c>
      <c r="F7" s="36">
        <f>CHOOSE(DCF!$D$46,Scenarios!F39,Scenarios!F71,Scenarios!F104)</f>
        <v>-0.01</v>
      </c>
      <c r="G7" s="36">
        <f>CHOOSE(DCF!$D$46,Scenarios!G39,Scenarios!G71,Scenarios!G104)</f>
        <v>0.02</v>
      </c>
      <c r="H7" s="36">
        <f>CHOOSE(DCF!$D$46,Scenarios!H39,Scenarios!H71,Scenarios!H104)</f>
        <v>0.02</v>
      </c>
    </row>
    <row r="8" spans="2:10">
      <c r="B8" s="12" t="s">
        <v>227</v>
      </c>
      <c r="C8" s="33">
        <v>472</v>
      </c>
      <c r="D8" s="13">
        <f>C8*(1+D9)</f>
        <v>708</v>
      </c>
      <c r="E8" s="13">
        <f>D8*(1+E9)</f>
        <v>729.24</v>
      </c>
      <c r="F8" s="13">
        <f>E8*(1+F9)</f>
        <v>743.82479999999998</v>
      </c>
      <c r="G8" s="13">
        <f>F8*(1+G9)</f>
        <v>758.70129599999996</v>
      </c>
      <c r="H8" s="13">
        <f>G8*(1+H9)</f>
        <v>773.87532191999992</v>
      </c>
    </row>
    <row r="9" spans="2:10">
      <c r="B9" s="34" t="s">
        <v>236</v>
      </c>
      <c r="C9" s="35"/>
      <c r="D9" s="36">
        <f>CHOOSE(DCF!$D$46,Scenarios!D41,Scenarios!D73,Scenarios!D106)</f>
        <v>0.5</v>
      </c>
      <c r="E9" s="36">
        <f>CHOOSE(DCF!$D$46,Scenarios!E41,Scenarios!E73,Scenarios!E106)</f>
        <v>0.03</v>
      </c>
      <c r="F9" s="36">
        <f>CHOOSE(DCF!$D$46,Scenarios!F41,Scenarios!F73,Scenarios!F106)</f>
        <v>0.02</v>
      </c>
      <c r="G9" s="36">
        <f>CHOOSE(DCF!$D$46,Scenarios!G41,Scenarios!G73,Scenarios!G106)</f>
        <v>0.02</v>
      </c>
      <c r="H9" s="36">
        <f>CHOOSE(DCF!$D$46,Scenarios!H41,Scenarios!H73,Scenarios!H106)</f>
        <v>0.02</v>
      </c>
    </row>
    <row r="10" spans="2:10">
      <c r="B10" s="12" t="s">
        <v>228</v>
      </c>
      <c r="C10" s="33">
        <v>195</v>
      </c>
      <c r="D10" s="13">
        <f>C10*(1+D11)</f>
        <v>196.95</v>
      </c>
      <c r="E10" s="13">
        <f>D10*(1+E11)</f>
        <v>199.90424999999996</v>
      </c>
      <c r="F10" s="13">
        <f>E10*(1+F11)</f>
        <v>203.90233499999997</v>
      </c>
      <c r="G10" s="13">
        <f>F10*(1+G11)</f>
        <v>208.99989337499994</v>
      </c>
      <c r="H10" s="13">
        <f>G10*(1+H11)</f>
        <v>214.22489070937493</v>
      </c>
    </row>
    <row r="11" spans="2:10">
      <c r="B11" s="34" t="s">
        <v>237</v>
      </c>
      <c r="C11" s="35"/>
      <c r="D11" s="36">
        <f>CHOOSE(DCF!$D$46,Scenarios!D43,Scenarios!D75,Scenarios!D108)</f>
        <v>0.01</v>
      </c>
      <c r="E11" s="36">
        <f>CHOOSE(DCF!$D$46,Scenarios!E43,Scenarios!E75,Scenarios!E108)</f>
        <v>1.4999999999999999E-2</v>
      </c>
      <c r="F11" s="36">
        <f>CHOOSE(DCF!$D$46,Scenarios!F43,Scenarios!F75,Scenarios!F108)</f>
        <v>0.02</v>
      </c>
      <c r="G11" s="36">
        <f>CHOOSE(DCF!$D$46,Scenarios!G43,Scenarios!G75,Scenarios!G108)</f>
        <v>2.5000000000000001E-2</v>
      </c>
      <c r="H11" s="36">
        <f>CHOOSE(DCF!$D$46,Scenarios!H43,Scenarios!H75,Scenarios!H108)</f>
        <v>2.5000000000000001E-2</v>
      </c>
    </row>
    <row r="12" spans="2:10">
      <c r="B12" s="12" t="s">
        <v>229</v>
      </c>
      <c r="C12" s="33">
        <v>392</v>
      </c>
      <c r="D12" s="13">
        <f>C12*(1+D13)</f>
        <v>403.76</v>
      </c>
      <c r="E12" s="13">
        <f>D12*(1+E13)</f>
        <v>411.83519999999999</v>
      </c>
      <c r="F12" s="13">
        <f>E12*(1+F13)</f>
        <v>420.07190400000002</v>
      </c>
      <c r="G12" s="13">
        <f>F12*(1+G13)</f>
        <v>428.47334208000001</v>
      </c>
      <c r="H12" s="13">
        <f>G12*(1+H13)</f>
        <v>437.0428089216</v>
      </c>
    </row>
    <row r="13" spans="2:10">
      <c r="B13" s="34" t="s">
        <v>242</v>
      </c>
      <c r="C13" s="33"/>
      <c r="D13" s="36">
        <f>CHOOSE(DCF!$D$46,Scenarios!D45,Scenarios!D77,Scenarios!D110)</f>
        <v>0.03</v>
      </c>
      <c r="E13" s="36">
        <f>CHOOSE(DCF!$D$46,Scenarios!E45,Scenarios!E77,Scenarios!E110)</f>
        <v>0.02</v>
      </c>
      <c r="F13" s="36">
        <f>CHOOSE(DCF!$D$46,Scenarios!F45,Scenarios!F77,Scenarios!F110)</f>
        <v>0.02</v>
      </c>
      <c r="G13" s="36">
        <f>CHOOSE(DCF!$D$46,Scenarios!G45,Scenarios!G77,Scenarios!G110)</f>
        <v>0.02</v>
      </c>
      <c r="H13" s="36">
        <f>CHOOSE(DCF!$D$46,Scenarios!H45,Scenarios!H77,Scenarios!H110)</f>
        <v>0.02</v>
      </c>
    </row>
    <row r="14" spans="2:10">
      <c r="B14" s="37" t="s">
        <v>222</v>
      </c>
      <c r="C14" s="38">
        <f>C4+C6+C8+C10+C12+3493-792</f>
        <v>18533</v>
      </c>
      <c r="D14" s="39">
        <f>D4+D6+D8+D10+D12</f>
        <v>18259.939999999999</v>
      </c>
      <c r="E14" s="39">
        <f>E4+E6+E8+E10+E12</f>
        <v>19072.595850000002</v>
      </c>
      <c r="F14" s="39">
        <f>F4+F6+F8+F10+F12</f>
        <v>19566.823634999997</v>
      </c>
      <c r="G14" s="39">
        <f>G4+G6+G8+G10+G12</f>
        <v>20128.419763874997</v>
      </c>
      <c r="H14" s="39">
        <f>H4+H6+H8+H10+H12</f>
        <v>20707.196708176874</v>
      </c>
    </row>
    <row r="15" spans="2:10">
      <c r="C15" s="40"/>
      <c r="D15" s="41"/>
    </row>
    <row r="16" spans="2:10">
      <c r="B16" s="37" t="s">
        <v>5</v>
      </c>
      <c r="C16" s="38">
        <f>'Full Historical 3-Statement'!F8</f>
        <v>6417</v>
      </c>
      <c r="D16" s="39">
        <f>D14*D17</f>
        <v>8216.973</v>
      </c>
      <c r="E16" s="39">
        <f>E14*E17</f>
        <v>8773.3940910000019</v>
      </c>
      <c r="F16" s="39">
        <f>F14*F17</f>
        <v>9000.7388720999988</v>
      </c>
      <c r="G16" s="39">
        <f>G14*G17</f>
        <v>9259.0730913824991</v>
      </c>
      <c r="H16" s="39">
        <f>H14*H17</f>
        <v>9525.3104857613635</v>
      </c>
    </row>
    <row r="17" spans="2:8">
      <c r="B17" s="34" t="s">
        <v>246</v>
      </c>
      <c r="C17" s="42">
        <f>C16/C14</f>
        <v>0.34624723466249391</v>
      </c>
      <c r="D17" s="36">
        <f>CHOOSE(DCF!$D$46,Scenarios!D49,Scenarios!D81,Scenarios!D114)</f>
        <v>0.45</v>
      </c>
      <c r="E17" s="36">
        <f>CHOOSE(DCF!$D$46,Scenarios!E49,Scenarios!E81,Scenarios!E114)</f>
        <v>0.46</v>
      </c>
      <c r="F17" s="36">
        <f>CHOOSE(DCF!$D$46,Scenarios!F49,Scenarios!F81,Scenarios!F114)</f>
        <v>0.46</v>
      </c>
      <c r="G17" s="36">
        <f>CHOOSE(DCF!$D$46,Scenarios!G49,Scenarios!G81,Scenarios!G114)</f>
        <v>0.46</v>
      </c>
      <c r="H17" s="36">
        <f>CHOOSE(DCF!$D$46,Scenarios!H49,Scenarios!H81,Scenarios!H114)</f>
        <v>0.46</v>
      </c>
    </row>
    <row r="18" spans="2:8">
      <c r="C18" s="40"/>
    </row>
    <row r="19" spans="2:8">
      <c r="B19" s="37" t="s">
        <v>6</v>
      </c>
      <c r="C19" s="38">
        <f>'Full Historical 3-Statement'!F9</f>
        <v>2382</v>
      </c>
      <c r="D19" s="39">
        <f>D20*D14</f>
        <v>2282.4924999999998</v>
      </c>
      <c r="E19" s="39">
        <f>E20*E14</f>
        <v>2288.7115020000001</v>
      </c>
      <c r="F19" s="39">
        <f>F20*F14</f>
        <v>2250.1847180249997</v>
      </c>
      <c r="G19" s="39">
        <f>G20*G14</f>
        <v>2214.1261740262498</v>
      </c>
      <c r="H19" s="39">
        <f>H20*H14</f>
        <v>2277.7916378994564</v>
      </c>
    </row>
    <row r="20" spans="2:8">
      <c r="B20" s="34" t="s">
        <v>174</v>
      </c>
      <c r="C20" s="42">
        <f>C19/C14</f>
        <v>0.12852749150164572</v>
      </c>
      <c r="D20" s="36">
        <f>CHOOSE(DCF!$D$46,Scenarios!D52,Scenarios!D84,Scenarios!D117)</f>
        <v>0.125</v>
      </c>
      <c r="E20" s="36">
        <f>CHOOSE(DCF!$D$46,Scenarios!E52,Scenarios!E84,Scenarios!E117)</f>
        <v>0.12</v>
      </c>
      <c r="F20" s="36">
        <f>CHOOSE(DCF!$D$46,Scenarios!F52,Scenarios!F84,Scenarios!F117)</f>
        <v>0.115</v>
      </c>
      <c r="G20" s="36">
        <f>CHOOSE(DCF!$D$46,Scenarios!G52,Scenarios!G84,Scenarios!G117)</f>
        <v>0.11</v>
      </c>
      <c r="H20" s="36">
        <f>CHOOSE(DCF!$D$46,Scenarios!H52,Scenarios!H84,Scenarios!H117)</f>
        <v>0.11</v>
      </c>
    </row>
    <row r="21" spans="2:8">
      <c r="B21" s="34"/>
      <c r="C21" s="40"/>
    </row>
    <row r="22" spans="2:8">
      <c r="B22" s="37" t="s">
        <v>180</v>
      </c>
      <c r="C22" s="43">
        <f>DCF!H15</f>
        <v>0.39330855018587363</v>
      </c>
      <c r="D22" s="44">
        <f>CHOOSE(DCF!$D$46,Scenarios!D54,Scenarios!D86,Scenarios!D119)</f>
        <v>0.4</v>
      </c>
      <c r="E22" s="44">
        <f>CHOOSE(DCF!$D$46,Scenarios!E54,Scenarios!E86,Scenarios!E119)</f>
        <v>0.4</v>
      </c>
      <c r="F22" s="44">
        <f>CHOOSE(DCF!$D$46,Scenarios!F54,Scenarios!F86,Scenarios!F119)</f>
        <v>0.4</v>
      </c>
      <c r="G22" s="44">
        <f>CHOOSE(DCF!$D$46,Scenarios!G54,Scenarios!G86,Scenarios!G119)</f>
        <v>0.4</v>
      </c>
      <c r="H22" s="44">
        <f>CHOOSE(DCF!$D$46,Scenarios!H54,Scenarios!H86,Scenarios!H119)</f>
        <v>0.4</v>
      </c>
    </row>
    <row r="23" spans="2:8">
      <c r="C23" s="40"/>
    </row>
    <row r="24" spans="2:8">
      <c r="B24" s="37" t="s">
        <v>243</v>
      </c>
      <c r="C24" s="38">
        <f>-'Full Historical 3-Statement'!F11</f>
        <v>3322</v>
      </c>
      <c r="D24" s="39">
        <f>CHOOSE(DCF!$D$46,Scenarios!D56,Scenarios!D88,Scenarios!D121)</f>
        <v>3100</v>
      </c>
      <c r="E24" s="39">
        <f>CHOOSE(DCF!$D$46,Scenarios!E56,Scenarios!E88,Scenarios!E121)</f>
        <v>2900</v>
      </c>
      <c r="F24" s="39">
        <f>CHOOSE(DCF!$D$46,Scenarios!F56,Scenarios!F88,Scenarios!F121)</f>
        <v>2600</v>
      </c>
      <c r="G24" s="39">
        <f>CHOOSE(DCF!$D$46,Scenarios!G56,Scenarios!G88,Scenarios!G121)</f>
        <v>2400</v>
      </c>
      <c r="H24" s="39">
        <f>CHOOSE(DCF!$D$46,Scenarios!H56,Scenarios!H88,Scenarios!H121)</f>
        <v>2200</v>
      </c>
    </row>
    <row r="25" spans="2:8">
      <c r="B25" s="34" t="s">
        <v>244</v>
      </c>
      <c r="C25" s="40"/>
      <c r="D25" s="36">
        <f>D24/C24-1</f>
        <v>-6.6827212522576729E-2</v>
      </c>
      <c r="E25" s="36">
        <f>E24/D24-1</f>
        <v>-6.4516129032258118E-2</v>
      </c>
      <c r="F25" s="36">
        <f>F24/E24-1</f>
        <v>-0.10344827586206895</v>
      </c>
      <c r="G25" s="36">
        <f>G24/F24-1</f>
        <v>-7.6923076923076872E-2</v>
      </c>
      <c r="H25" s="36">
        <f>H24/G24-1</f>
        <v>-8.333333333333337E-2</v>
      </c>
    </row>
    <row r="26" spans="2:8">
      <c r="C26" s="40"/>
    </row>
    <row r="27" spans="2:8">
      <c r="B27" s="37" t="s">
        <v>184</v>
      </c>
      <c r="C27" s="38">
        <f>'Full Historical 3-Statement'!F105</f>
        <v>3013</v>
      </c>
      <c r="D27" s="39">
        <f>D28*D14/365</f>
        <v>2901.5795068493153</v>
      </c>
      <c r="E27" s="39">
        <f>E28*E14/365</f>
        <v>2978.4601738356168</v>
      </c>
      <c r="F27" s="39">
        <f>F28*F14/365</f>
        <v>3055.6409512191776</v>
      </c>
      <c r="G27" s="39">
        <f>G28*G14/365</f>
        <v>3143.3422644955476</v>
      </c>
      <c r="H27" s="39">
        <f>H28*H14/365</f>
        <v>3233.7266092221416</v>
      </c>
    </row>
    <row r="28" spans="2:8">
      <c r="B28" s="34" t="s">
        <v>250</v>
      </c>
      <c r="C28" s="45">
        <f>C27/C14*365</f>
        <v>59.339826255867912</v>
      </c>
      <c r="D28" s="46">
        <f>CHOOSE(DCF!$D$46,Scenarios!D60,Scenarios!D92,Scenarios!D125)</f>
        <v>58</v>
      </c>
      <c r="E28" s="46">
        <f>CHOOSE(DCF!$D$46,Scenarios!E60,Scenarios!E92,Scenarios!E125)</f>
        <v>57</v>
      </c>
      <c r="F28" s="46">
        <f>CHOOSE(DCF!$D$46,Scenarios!F60,Scenarios!F92,Scenarios!F125)</f>
        <v>57</v>
      </c>
      <c r="G28" s="46">
        <f>CHOOSE(DCF!$D$46,Scenarios!G60,Scenarios!G92,Scenarios!G125)</f>
        <v>57</v>
      </c>
      <c r="H28" s="46">
        <f>CHOOSE(DCF!$D$46,Scenarios!H60,Scenarios!H92,Scenarios!H125)</f>
        <v>57</v>
      </c>
    </row>
    <row r="29" spans="2:8">
      <c r="B29" s="37" t="s">
        <v>185</v>
      </c>
      <c r="C29" s="38">
        <f>'Full Historical 3-Statement'!F106</f>
        <v>3748</v>
      </c>
      <c r="D29" s="39">
        <f>D30*D14/365</f>
        <v>3702.0152328767117</v>
      </c>
      <c r="E29" s="39">
        <f>E30*E14/365</f>
        <v>3814.5191700000005</v>
      </c>
      <c r="F29" s="39">
        <f>F30*F14/365</f>
        <v>3913.3647269999992</v>
      </c>
      <c r="G29" s="39">
        <f>G30*G14/365</f>
        <v>4025.6839527749994</v>
      </c>
      <c r="H29" s="39">
        <f>H30*H14/365</f>
        <v>4141.4393416353751</v>
      </c>
    </row>
    <row r="30" spans="2:8">
      <c r="B30" s="34" t="s">
        <v>185</v>
      </c>
      <c r="C30" s="45">
        <f>C29/C14*365</f>
        <v>73.815356391302004</v>
      </c>
      <c r="D30" s="46">
        <f>CHOOSE(DCF!$D$46,Scenarios!D62,Scenarios!D94,Scenarios!D127)</f>
        <v>74</v>
      </c>
      <c r="E30" s="46">
        <f>CHOOSE(DCF!$D$46,Scenarios!E62,Scenarios!E94,Scenarios!E127)</f>
        <v>73</v>
      </c>
      <c r="F30" s="46">
        <f>CHOOSE(DCF!$D$46,Scenarios!F62,Scenarios!F94,Scenarios!F127)</f>
        <v>73</v>
      </c>
      <c r="G30" s="46">
        <f>CHOOSE(DCF!$D$46,Scenarios!G62,Scenarios!G94,Scenarios!G127)</f>
        <v>73</v>
      </c>
      <c r="H30" s="46">
        <f>CHOOSE(DCF!$D$46,Scenarios!H62,Scenarios!H94,Scenarios!H127)</f>
        <v>73</v>
      </c>
    </row>
    <row r="31" spans="2:8">
      <c r="B31" s="37" t="s">
        <v>186</v>
      </c>
      <c r="C31" s="38">
        <f>-'Full Historical 3-Statement'!F116</f>
        <v>4879</v>
      </c>
      <c r="D31" s="39">
        <f>D32*((-'Full Historical 3-Statement'!$F$17*1.03)/365)</f>
        <v>5046.0856986301369</v>
      </c>
      <c r="E31" s="39">
        <f>E32*((-'Full Historical 3-Statement'!$F$17*1.03^2)/365)</f>
        <v>5147.4926131506854</v>
      </c>
      <c r="F31" s="39">
        <f>F32*((-'Full Historical 3-Statement'!$F$17*1.03^3)/365)</f>
        <v>5301.9173915452056</v>
      </c>
      <c r="G31" s="39">
        <f>G32*((-'Full Historical 3-Statement'!$F$17*1.03^4)/365)</f>
        <v>5460.9749132915613</v>
      </c>
      <c r="H31" s="39">
        <f>H32*((-'Full Historical 3-Statement'!$F$17*1.03^5)/365)</f>
        <v>5624.804160690308</v>
      </c>
    </row>
    <row r="32" spans="2:8">
      <c r="B32" s="34" t="s">
        <v>186</v>
      </c>
      <c r="C32" s="47">
        <f>C31/-'Full Historical 3-Statement'!F17*365</f>
        <v>103.57304873793184</v>
      </c>
      <c r="D32" s="46">
        <f>CHOOSE(DCF!$D$46,Scenarios!D64,Scenarios!D96,Scenarios!D129)</f>
        <v>104</v>
      </c>
      <c r="E32" s="46">
        <f>CHOOSE(DCF!$D$46,Scenarios!E64,Scenarios!E96,Scenarios!E129)</f>
        <v>103</v>
      </c>
      <c r="F32" s="46">
        <f>CHOOSE(DCF!$D$46,Scenarios!F64,Scenarios!F96,Scenarios!F129)</f>
        <v>103</v>
      </c>
      <c r="G32" s="46">
        <f>CHOOSE(DCF!$D$46,Scenarios!G64,Scenarios!G96,Scenarios!G129)</f>
        <v>103</v>
      </c>
      <c r="H32" s="46">
        <f>CHOOSE(DCF!$D$46,Scenarios!H64,Scenarios!H96,Scenarios!H129)</f>
        <v>103</v>
      </c>
    </row>
    <row r="34" spans="2:8">
      <c r="B34" s="84" t="s">
        <v>251</v>
      </c>
      <c r="C34" s="84"/>
      <c r="D34" s="84"/>
      <c r="E34" s="84"/>
      <c r="F34" s="84"/>
      <c r="G34" s="84"/>
      <c r="H34" s="84"/>
    </row>
    <row r="35" spans="2:8">
      <c r="B35" s="8"/>
      <c r="C35" s="32" t="s">
        <v>71</v>
      </c>
      <c r="D35" s="32" t="s">
        <v>175</v>
      </c>
      <c r="E35" s="32" t="s">
        <v>230</v>
      </c>
      <c r="F35" s="32" t="s">
        <v>231</v>
      </c>
      <c r="G35" s="32" t="s">
        <v>232</v>
      </c>
      <c r="H35" s="32" t="s">
        <v>233</v>
      </c>
    </row>
    <row r="36" spans="2:8">
      <c r="B36" s="12" t="s">
        <v>225</v>
      </c>
      <c r="C36" s="33">
        <v>8122</v>
      </c>
      <c r="D36" s="13">
        <f>C36*(1+D37)</f>
        <v>10233.719999999999</v>
      </c>
      <c r="E36" s="13">
        <f t="shared" ref="E36:H36" si="0">D36*(1+E37)</f>
        <v>10745.405999999999</v>
      </c>
      <c r="F36" s="13">
        <f t="shared" si="0"/>
        <v>11282.676299999999</v>
      </c>
      <c r="G36" s="13">
        <f t="shared" si="0"/>
        <v>11677.569970499999</v>
      </c>
      <c r="H36" s="13">
        <f t="shared" si="0"/>
        <v>12086.284919467498</v>
      </c>
    </row>
    <row r="37" spans="2:8">
      <c r="B37" s="48" t="s">
        <v>234</v>
      </c>
      <c r="C37" s="49"/>
      <c r="D37" s="50">
        <v>0.26</v>
      </c>
      <c r="E37" s="50">
        <v>0.05</v>
      </c>
      <c r="F37" s="50">
        <v>0.05</v>
      </c>
      <c r="G37" s="50">
        <v>3.5000000000000003E-2</v>
      </c>
      <c r="H37" s="50">
        <v>3.5000000000000003E-2</v>
      </c>
    </row>
    <row r="38" spans="2:8">
      <c r="B38" s="12" t="s">
        <v>226</v>
      </c>
      <c r="C38" s="33">
        <v>6651</v>
      </c>
      <c r="D38" s="13">
        <f>C38*(1+D39)</f>
        <v>6717.51</v>
      </c>
      <c r="E38" s="13">
        <f t="shared" ref="E38:H38" si="1">D38*(1+E39)</f>
        <v>6986.2104000000008</v>
      </c>
      <c r="F38" s="13">
        <f t="shared" si="1"/>
        <v>6916.348296000001</v>
      </c>
      <c r="G38" s="13">
        <f t="shared" si="1"/>
        <v>7054.6752619200015</v>
      </c>
      <c r="H38" s="13">
        <f t="shared" si="1"/>
        <v>7195.7687671584017</v>
      </c>
    </row>
    <row r="39" spans="2:8">
      <c r="B39" s="48" t="s">
        <v>235</v>
      </c>
      <c r="C39" s="49"/>
      <c r="D39" s="50">
        <v>0.01</v>
      </c>
      <c r="E39" s="50">
        <v>0.04</v>
      </c>
      <c r="F39" s="50">
        <v>-0.01</v>
      </c>
      <c r="G39" s="50">
        <v>0.02</v>
      </c>
      <c r="H39" s="50">
        <v>0.02</v>
      </c>
    </row>
    <row r="40" spans="2:8">
      <c r="B40" s="12" t="s">
        <v>227</v>
      </c>
      <c r="C40" s="33">
        <v>472</v>
      </c>
      <c r="D40" s="13">
        <f>C40*(1+D41)</f>
        <v>708</v>
      </c>
      <c r="E40" s="13">
        <f t="shared" ref="E40:H40" si="2">D40*(1+E41)</f>
        <v>729.24</v>
      </c>
      <c r="F40" s="13">
        <f t="shared" si="2"/>
        <v>743.82479999999998</v>
      </c>
      <c r="G40" s="13">
        <f t="shared" si="2"/>
        <v>758.70129599999996</v>
      </c>
      <c r="H40" s="13">
        <f t="shared" si="2"/>
        <v>773.87532191999992</v>
      </c>
    </row>
    <row r="41" spans="2:8">
      <c r="B41" s="48" t="s">
        <v>236</v>
      </c>
      <c r="C41" s="49"/>
      <c r="D41" s="50">
        <v>0.5</v>
      </c>
      <c r="E41" s="50">
        <v>0.03</v>
      </c>
      <c r="F41" s="50">
        <v>0.02</v>
      </c>
      <c r="G41" s="50">
        <v>0.02</v>
      </c>
      <c r="H41" s="50">
        <v>0.02</v>
      </c>
    </row>
    <row r="42" spans="2:8">
      <c r="B42" s="12" t="s">
        <v>228</v>
      </c>
      <c r="C42" s="33">
        <v>195</v>
      </c>
      <c r="D42" s="13">
        <f>C42*(1+D43)</f>
        <v>196.95</v>
      </c>
      <c r="E42" s="13">
        <f t="shared" ref="E42:H42" si="3">D42*(1+E43)</f>
        <v>199.90424999999996</v>
      </c>
      <c r="F42" s="13">
        <f t="shared" si="3"/>
        <v>203.90233499999997</v>
      </c>
      <c r="G42" s="13">
        <f t="shared" si="3"/>
        <v>208.99989337499994</v>
      </c>
      <c r="H42" s="13">
        <f t="shared" si="3"/>
        <v>214.22489070937493</v>
      </c>
    </row>
    <row r="43" spans="2:8">
      <c r="B43" s="48" t="s">
        <v>237</v>
      </c>
      <c r="C43" s="49"/>
      <c r="D43" s="50">
        <v>0.01</v>
      </c>
      <c r="E43" s="50">
        <v>1.4999999999999999E-2</v>
      </c>
      <c r="F43" s="50">
        <v>0.02</v>
      </c>
      <c r="G43" s="50">
        <v>2.5000000000000001E-2</v>
      </c>
      <c r="H43" s="50">
        <v>2.5000000000000001E-2</v>
      </c>
    </row>
    <row r="44" spans="2:8">
      <c r="B44" s="13" t="s">
        <v>229</v>
      </c>
      <c r="C44" s="33">
        <v>392</v>
      </c>
      <c r="D44" s="13">
        <f>C44*(1+D45)</f>
        <v>403.76</v>
      </c>
      <c r="E44" s="13">
        <f t="shared" ref="E44:H44" si="4">D44*(1+E45)</f>
        <v>411.83519999999999</v>
      </c>
      <c r="F44" s="13">
        <f t="shared" si="4"/>
        <v>420.07190400000002</v>
      </c>
      <c r="G44" s="13">
        <f t="shared" si="4"/>
        <v>428.47334208000001</v>
      </c>
      <c r="H44" s="13">
        <f t="shared" si="4"/>
        <v>437.0428089216</v>
      </c>
    </row>
    <row r="45" spans="2:8">
      <c r="B45" s="48" t="s">
        <v>242</v>
      </c>
      <c r="C45" s="49"/>
      <c r="D45" s="50">
        <v>0.03</v>
      </c>
      <c r="E45" s="50">
        <v>0.02</v>
      </c>
      <c r="F45" s="50">
        <v>0.02</v>
      </c>
      <c r="G45" s="50">
        <v>0.02</v>
      </c>
      <c r="H45" s="50">
        <v>0.02</v>
      </c>
    </row>
    <row r="46" spans="2:8">
      <c r="B46" s="39" t="s">
        <v>222</v>
      </c>
      <c r="C46" s="38">
        <v>18533</v>
      </c>
      <c r="D46" s="39">
        <f>D36+D38+D40+D42+D44</f>
        <v>18259.939999999999</v>
      </c>
      <c r="E46" s="39">
        <f t="shared" ref="E46:H46" si="5">E36+E38+E40+E42+E44</f>
        <v>19072.595850000002</v>
      </c>
      <c r="F46" s="39">
        <f t="shared" si="5"/>
        <v>19566.823634999997</v>
      </c>
      <c r="G46" s="39">
        <f t="shared" si="5"/>
        <v>20128.419763874997</v>
      </c>
      <c r="H46" s="39">
        <f t="shared" si="5"/>
        <v>20707.196708176874</v>
      </c>
    </row>
    <row r="47" spans="2:8">
      <c r="C47" s="40"/>
    </row>
    <row r="48" spans="2:8">
      <c r="B48" s="39" t="s">
        <v>5</v>
      </c>
      <c r="C48" s="38">
        <v>6417</v>
      </c>
      <c r="D48" s="39">
        <f>D46*D49</f>
        <v>8216.973</v>
      </c>
      <c r="E48" s="39">
        <f t="shared" ref="E48:H48" si="6">E46*E49</f>
        <v>8773.3940910000019</v>
      </c>
      <c r="F48" s="39">
        <f t="shared" si="6"/>
        <v>9000.7388720999988</v>
      </c>
      <c r="G48" s="39">
        <f t="shared" si="6"/>
        <v>9259.0730913824991</v>
      </c>
      <c r="H48" s="39">
        <f t="shared" si="6"/>
        <v>9525.3104857613635</v>
      </c>
    </row>
    <row r="49" spans="2:8">
      <c r="B49" s="34" t="s">
        <v>246</v>
      </c>
      <c r="C49" s="49">
        <v>0.34624723466249391</v>
      </c>
      <c r="D49" s="50">
        <v>0.45</v>
      </c>
      <c r="E49" s="50">
        <v>0.46</v>
      </c>
      <c r="F49" s="50">
        <v>0.46</v>
      </c>
      <c r="G49" s="50">
        <v>0.46</v>
      </c>
      <c r="H49" s="50">
        <v>0.46</v>
      </c>
    </row>
    <row r="50" spans="2:8">
      <c r="C50" s="40"/>
    </row>
    <row r="51" spans="2:8">
      <c r="B51" s="39" t="s">
        <v>6</v>
      </c>
      <c r="C51" s="38">
        <v>2382</v>
      </c>
      <c r="D51" s="39">
        <f>D52*D46</f>
        <v>2282.4924999999998</v>
      </c>
      <c r="E51" s="39">
        <f t="shared" ref="E51:H51" si="7">E52*E46</f>
        <v>2288.7115020000001</v>
      </c>
      <c r="F51" s="39">
        <f t="shared" si="7"/>
        <v>2250.1847180249997</v>
      </c>
      <c r="G51" s="39">
        <f t="shared" si="7"/>
        <v>2214.1261740262498</v>
      </c>
      <c r="H51" s="39">
        <f t="shared" si="7"/>
        <v>2277.7916378994564</v>
      </c>
    </row>
    <row r="52" spans="2:8">
      <c r="B52" s="34" t="s">
        <v>174</v>
      </c>
      <c r="C52" s="49">
        <v>0.12852749150164572</v>
      </c>
      <c r="D52" s="50">
        <v>0.125</v>
      </c>
      <c r="E52" s="50">
        <v>0.12</v>
      </c>
      <c r="F52" s="50">
        <v>0.115</v>
      </c>
      <c r="G52" s="50">
        <v>0.11</v>
      </c>
      <c r="H52" s="50">
        <v>0.11</v>
      </c>
    </row>
    <row r="53" spans="2:8">
      <c r="C53" s="40"/>
    </row>
    <row r="54" spans="2:8">
      <c r="B54" s="37" t="s">
        <v>180</v>
      </c>
      <c r="C54" s="43">
        <v>0.39330855018587363</v>
      </c>
      <c r="D54" s="51">
        <v>0.4</v>
      </c>
      <c r="E54" s="51">
        <v>0.4</v>
      </c>
      <c r="F54" s="51">
        <v>0.4</v>
      </c>
      <c r="G54" s="51">
        <v>0.4</v>
      </c>
      <c r="H54" s="51">
        <v>0.4</v>
      </c>
    </row>
    <row r="55" spans="2:8">
      <c r="C55" s="40"/>
    </row>
    <row r="56" spans="2:8">
      <c r="B56" s="37" t="s">
        <v>243</v>
      </c>
      <c r="C56" s="38">
        <v>3322</v>
      </c>
      <c r="D56" s="39">
        <v>3100</v>
      </c>
      <c r="E56" s="39">
        <v>2900</v>
      </c>
      <c r="F56" s="39">
        <v>2600</v>
      </c>
      <c r="G56" s="39">
        <v>2400</v>
      </c>
      <c r="H56" s="39">
        <v>2200</v>
      </c>
    </row>
    <row r="57" spans="2:8">
      <c r="B57" s="34" t="s">
        <v>244</v>
      </c>
      <c r="C57" s="49"/>
      <c r="D57" s="50">
        <f>D56/C56-1</f>
        <v>-6.6827212522576729E-2</v>
      </c>
      <c r="E57" s="50">
        <f t="shared" ref="E57:H57" si="8">E56/D56-1</f>
        <v>-6.4516129032258118E-2</v>
      </c>
      <c r="F57" s="50">
        <f t="shared" si="8"/>
        <v>-0.10344827586206895</v>
      </c>
      <c r="G57" s="50">
        <f t="shared" si="8"/>
        <v>-7.6923076923076872E-2</v>
      </c>
      <c r="H57" s="50">
        <f t="shared" si="8"/>
        <v>-8.333333333333337E-2</v>
      </c>
    </row>
    <row r="58" spans="2:8">
      <c r="C58" s="40"/>
    </row>
    <row r="59" spans="2:8">
      <c r="B59" s="37" t="s">
        <v>184</v>
      </c>
      <c r="C59" s="38">
        <v>3013</v>
      </c>
      <c r="D59" s="39">
        <f>D60*D46/365</f>
        <v>2901.5795068493153</v>
      </c>
      <c r="E59" s="39">
        <f t="shared" ref="E59:H59" si="9">E60*E46/365</f>
        <v>2978.4601738356168</v>
      </c>
      <c r="F59" s="39">
        <f t="shared" si="9"/>
        <v>3055.6409512191776</v>
      </c>
      <c r="G59" s="39">
        <f t="shared" si="9"/>
        <v>3143.3422644955476</v>
      </c>
      <c r="H59" s="39">
        <f t="shared" si="9"/>
        <v>3233.7266092221416</v>
      </c>
    </row>
    <row r="60" spans="2:8">
      <c r="B60" s="34" t="s">
        <v>250</v>
      </c>
      <c r="C60" s="45">
        <v>59.339826255867912</v>
      </c>
      <c r="D60" s="46">
        <v>58</v>
      </c>
      <c r="E60" s="46">
        <v>57</v>
      </c>
      <c r="F60" s="46">
        <v>57</v>
      </c>
      <c r="G60" s="46">
        <v>57</v>
      </c>
      <c r="H60" s="46">
        <v>57</v>
      </c>
    </row>
    <row r="61" spans="2:8">
      <c r="B61" s="37" t="s">
        <v>185</v>
      </c>
      <c r="C61" s="38">
        <v>3748</v>
      </c>
      <c r="D61" s="39">
        <f>D62*D46/365</f>
        <v>3702.0152328767117</v>
      </c>
      <c r="E61" s="39">
        <f t="shared" ref="E61:H61" si="10">E62*E46/365</f>
        <v>3814.5191700000005</v>
      </c>
      <c r="F61" s="39">
        <f t="shared" si="10"/>
        <v>3913.3647269999992</v>
      </c>
      <c r="G61" s="39">
        <f t="shared" si="10"/>
        <v>4025.6839527749994</v>
      </c>
      <c r="H61" s="39">
        <f t="shared" si="10"/>
        <v>4141.4393416353751</v>
      </c>
    </row>
    <row r="62" spans="2:8">
      <c r="B62" s="34" t="s">
        <v>185</v>
      </c>
      <c r="C62" s="45">
        <v>73.815356391302004</v>
      </c>
      <c r="D62" s="46">
        <v>74</v>
      </c>
      <c r="E62" s="46">
        <v>73</v>
      </c>
      <c r="F62" s="46">
        <v>73</v>
      </c>
      <c r="G62" s="46">
        <v>73</v>
      </c>
      <c r="H62" s="46">
        <v>73</v>
      </c>
    </row>
    <row r="63" spans="2:8">
      <c r="B63" s="37" t="s">
        <v>186</v>
      </c>
      <c r="C63" s="38">
        <v>4879</v>
      </c>
      <c r="D63" s="39">
        <f>D64*((-'Full Historical 3-Statement'!$F$17*1.03)/365)</f>
        <v>5046.0856986301369</v>
      </c>
      <c r="E63" s="39">
        <f>E64*((-'Full Historical 3-Statement'!$F$17*1.03)/365)</f>
        <v>4997.5656438356164</v>
      </c>
      <c r="F63" s="39">
        <f>F64*((-'Full Historical 3-Statement'!$F$17*1.03)/365)</f>
        <v>4997.5656438356164</v>
      </c>
      <c r="G63" s="39">
        <f>G64*((-'Full Historical 3-Statement'!$F$17*1.03)/365)</f>
        <v>4997.5656438356164</v>
      </c>
      <c r="H63" s="39">
        <f>H64*((-'Full Historical 3-Statement'!$F$17*1.03)/365)</f>
        <v>4997.5656438356164</v>
      </c>
    </row>
    <row r="64" spans="2:8">
      <c r="B64" s="34" t="s">
        <v>186</v>
      </c>
      <c r="C64" s="45">
        <v>103.57304873793184</v>
      </c>
      <c r="D64" s="46">
        <v>104</v>
      </c>
      <c r="E64" s="46">
        <v>103</v>
      </c>
      <c r="F64" s="46">
        <v>103</v>
      </c>
      <c r="G64" s="46">
        <v>103</v>
      </c>
      <c r="H64" s="46">
        <v>103</v>
      </c>
    </row>
    <row r="66" spans="2:8">
      <c r="B66" s="84" t="s">
        <v>253</v>
      </c>
      <c r="C66" s="84"/>
      <c r="D66" s="84"/>
      <c r="E66" s="84"/>
      <c r="F66" s="84"/>
      <c r="G66" s="84"/>
      <c r="H66" s="84"/>
    </row>
    <row r="67" spans="2:8">
      <c r="B67" s="8"/>
      <c r="C67" s="32" t="s">
        <v>71</v>
      </c>
      <c r="D67" s="32" t="s">
        <v>175</v>
      </c>
      <c r="E67" s="32" t="s">
        <v>230</v>
      </c>
      <c r="F67" s="32" t="s">
        <v>231</v>
      </c>
      <c r="G67" s="32" t="s">
        <v>232</v>
      </c>
      <c r="H67" s="32" t="s">
        <v>233</v>
      </c>
    </row>
    <row r="68" spans="2:8">
      <c r="B68" s="12" t="s">
        <v>225</v>
      </c>
      <c r="C68" s="33">
        <v>8122</v>
      </c>
      <c r="D68" s="13">
        <f>C68*(1+D69)</f>
        <v>10721.04</v>
      </c>
      <c r="E68" s="13">
        <f t="shared" ref="E68:H68" si="11">D68*(1+E69)</f>
        <v>11793.144000000002</v>
      </c>
      <c r="F68" s="13">
        <f t="shared" si="11"/>
        <v>12736.595520000003</v>
      </c>
      <c r="G68" s="13">
        <f t="shared" si="11"/>
        <v>13500.791251200004</v>
      </c>
      <c r="H68" s="13">
        <f t="shared" si="11"/>
        <v>14310.838726272004</v>
      </c>
    </row>
    <row r="69" spans="2:8">
      <c r="B69" s="34" t="s">
        <v>234</v>
      </c>
      <c r="C69" s="45"/>
      <c r="D69" s="50">
        <v>0.32</v>
      </c>
      <c r="E69" s="50">
        <v>0.1</v>
      </c>
      <c r="F69" s="50">
        <v>0.08</v>
      </c>
      <c r="G69" s="50">
        <v>0.06</v>
      </c>
      <c r="H69" s="50">
        <v>0.06</v>
      </c>
    </row>
    <row r="70" spans="2:8">
      <c r="B70" s="12" t="s">
        <v>226</v>
      </c>
      <c r="C70" s="33">
        <v>6651</v>
      </c>
      <c r="D70" s="13">
        <f>C70*(1+D71)</f>
        <v>6850.53</v>
      </c>
      <c r="E70" s="13">
        <f t="shared" ref="E70:H70" si="12">D70*(1+E71)</f>
        <v>7398.5724</v>
      </c>
      <c r="F70" s="13">
        <f t="shared" si="12"/>
        <v>7546.5438480000003</v>
      </c>
      <c r="G70" s="13">
        <f t="shared" si="12"/>
        <v>7848.4056019200007</v>
      </c>
      <c r="H70" s="13">
        <f t="shared" si="12"/>
        <v>8162.3418259968012</v>
      </c>
    </row>
    <row r="71" spans="2:8">
      <c r="B71" s="34" t="s">
        <v>235</v>
      </c>
      <c r="C71" s="35"/>
      <c r="D71" s="50">
        <v>0.03</v>
      </c>
      <c r="E71" s="50">
        <v>0.08</v>
      </c>
      <c r="F71" s="50">
        <v>0.02</v>
      </c>
      <c r="G71" s="50">
        <v>0.04</v>
      </c>
      <c r="H71" s="50">
        <v>0.04</v>
      </c>
    </row>
    <row r="72" spans="2:8">
      <c r="B72" s="12" t="s">
        <v>227</v>
      </c>
      <c r="C72" s="33">
        <v>472</v>
      </c>
      <c r="D72" s="13">
        <f>C72*(1+D73)</f>
        <v>778.8</v>
      </c>
      <c r="E72" s="13">
        <f t="shared" ref="E72:H72" si="13">D72*(1+E73)</f>
        <v>825.52800000000002</v>
      </c>
      <c r="F72" s="13">
        <f t="shared" si="13"/>
        <v>858.54912000000002</v>
      </c>
      <c r="G72" s="13">
        <f t="shared" si="13"/>
        <v>884.30559360000007</v>
      </c>
      <c r="H72" s="13">
        <f t="shared" si="13"/>
        <v>910.83476140800008</v>
      </c>
    </row>
    <row r="73" spans="2:8">
      <c r="B73" s="34" t="s">
        <v>236</v>
      </c>
      <c r="C73" s="45"/>
      <c r="D73" s="50">
        <v>0.65</v>
      </c>
      <c r="E73" s="50">
        <v>0.06</v>
      </c>
      <c r="F73" s="50">
        <v>0.04</v>
      </c>
      <c r="G73" s="50">
        <v>0.03</v>
      </c>
      <c r="H73" s="50">
        <v>0.03</v>
      </c>
    </row>
    <row r="74" spans="2:8">
      <c r="B74" s="12" t="s">
        <v>228</v>
      </c>
      <c r="C74" s="33">
        <v>195</v>
      </c>
      <c r="D74" s="13">
        <f>C74*(1+D75)</f>
        <v>200.85</v>
      </c>
      <c r="E74" s="13">
        <f t="shared" ref="E74:H74" si="14">D74*(1+E75)</f>
        <v>208.88400000000001</v>
      </c>
      <c r="F74" s="13">
        <f t="shared" si="14"/>
        <v>219.32820000000004</v>
      </c>
      <c r="G74" s="13">
        <f t="shared" si="14"/>
        <v>234.68117400000006</v>
      </c>
      <c r="H74" s="13">
        <f t="shared" si="14"/>
        <v>253.45566792000008</v>
      </c>
    </row>
    <row r="75" spans="2:8">
      <c r="B75" s="34" t="s">
        <v>237</v>
      </c>
      <c r="C75" s="45"/>
      <c r="D75" s="50">
        <v>0.03</v>
      </c>
      <c r="E75" s="50">
        <v>0.04</v>
      </c>
      <c r="F75" s="50">
        <v>0.05</v>
      </c>
      <c r="G75" s="50">
        <v>7.0000000000000007E-2</v>
      </c>
      <c r="H75" s="50">
        <v>0.08</v>
      </c>
    </row>
    <row r="76" spans="2:8">
      <c r="B76" s="12" t="s">
        <v>229</v>
      </c>
      <c r="C76" s="33">
        <v>392</v>
      </c>
      <c r="D76" s="13">
        <f>C76*(1+D77)</f>
        <v>411.6</v>
      </c>
      <c r="E76" s="13">
        <f t="shared" ref="E76:H76" si="15">D76*(1+E77)</f>
        <v>423.94800000000004</v>
      </c>
      <c r="F76" s="13">
        <f t="shared" si="15"/>
        <v>436.66644000000002</v>
      </c>
      <c r="G76" s="13">
        <f t="shared" si="15"/>
        <v>449.76643320000005</v>
      </c>
      <c r="H76" s="13">
        <f t="shared" si="15"/>
        <v>463.25942619600005</v>
      </c>
    </row>
    <row r="77" spans="2:8">
      <c r="B77" s="34" t="s">
        <v>242</v>
      </c>
      <c r="C77" s="45"/>
      <c r="D77" s="50">
        <v>0.05</v>
      </c>
      <c r="E77" s="50">
        <v>0.03</v>
      </c>
      <c r="F77" s="50">
        <v>0.03</v>
      </c>
      <c r="G77" s="50">
        <v>0.03</v>
      </c>
      <c r="H77" s="50">
        <v>0.03</v>
      </c>
    </row>
    <row r="78" spans="2:8">
      <c r="B78" s="37" t="s">
        <v>222</v>
      </c>
      <c r="C78" s="38">
        <v>18533</v>
      </c>
      <c r="D78" s="52">
        <f>D68+D70+D72+D74+D76</f>
        <v>18962.819999999996</v>
      </c>
      <c r="E78" s="52">
        <f t="shared" ref="E78:H78" si="16">E68+E70+E72+E74+E76</f>
        <v>20650.076400000002</v>
      </c>
      <c r="F78" s="52">
        <f t="shared" si="16"/>
        <v>21797.683128000004</v>
      </c>
      <c r="G78" s="52">
        <f t="shared" si="16"/>
        <v>22917.950053920005</v>
      </c>
      <c r="H78" s="52">
        <f t="shared" si="16"/>
        <v>24100.730407792806</v>
      </c>
    </row>
    <row r="79" spans="2:8">
      <c r="C79" s="55"/>
    </row>
    <row r="80" spans="2:8">
      <c r="B80" s="37" t="s">
        <v>5</v>
      </c>
      <c r="C80" s="38">
        <v>6417</v>
      </c>
      <c r="D80" s="39">
        <f>D78*D81</f>
        <v>8912.5253999999968</v>
      </c>
      <c r="E80" s="39">
        <f t="shared" ref="E80:H80" si="17">E78*E81</f>
        <v>9912.0366720000002</v>
      </c>
      <c r="F80" s="39">
        <f t="shared" si="17"/>
        <v>10680.864732720001</v>
      </c>
      <c r="G80" s="39">
        <f t="shared" si="17"/>
        <v>11229.795526420803</v>
      </c>
      <c r="H80" s="39">
        <f t="shared" si="17"/>
        <v>11809.357899818475</v>
      </c>
    </row>
    <row r="81" spans="2:8">
      <c r="B81" s="34" t="s">
        <v>246</v>
      </c>
      <c r="C81" s="49">
        <v>0.34624723466249391</v>
      </c>
      <c r="D81" s="50">
        <v>0.47</v>
      </c>
      <c r="E81" s="50">
        <v>0.48</v>
      </c>
      <c r="F81" s="50">
        <v>0.49</v>
      </c>
      <c r="G81" s="50">
        <v>0.49</v>
      </c>
      <c r="H81" s="50">
        <v>0.49</v>
      </c>
    </row>
    <row r="82" spans="2:8">
      <c r="C82" s="40"/>
    </row>
    <row r="83" spans="2:8">
      <c r="B83" s="37" t="s">
        <v>6</v>
      </c>
      <c r="C83" s="38">
        <v>2382</v>
      </c>
      <c r="D83" s="52">
        <f>D78*D84</f>
        <v>2275.5383999999995</v>
      </c>
      <c r="E83" s="52">
        <f t="shared" ref="E83:H83" si="18">E78*E84</f>
        <v>2374.7587860000003</v>
      </c>
      <c r="F83" s="52">
        <f t="shared" si="18"/>
        <v>2397.7451440800005</v>
      </c>
      <c r="G83" s="52">
        <f t="shared" si="18"/>
        <v>2406.3847556616006</v>
      </c>
      <c r="H83" s="52">
        <f t="shared" si="18"/>
        <v>2530.5766928182443</v>
      </c>
    </row>
    <row r="84" spans="2:8">
      <c r="B84" s="53" t="s">
        <v>174</v>
      </c>
      <c r="C84" s="42">
        <v>0.12852749150164572</v>
      </c>
      <c r="D84" s="36">
        <v>0.12</v>
      </c>
      <c r="E84" s="36">
        <v>0.115</v>
      </c>
      <c r="F84" s="36">
        <v>0.11</v>
      </c>
      <c r="G84" s="36">
        <v>0.105</v>
      </c>
      <c r="H84" s="36">
        <v>0.105</v>
      </c>
    </row>
    <row r="85" spans="2:8">
      <c r="C85" s="40"/>
    </row>
    <row r="86" spans="2:8">
      <c r="B86" s="37" t="s">
        <v>180</v>
      </c>
      <c r="C86" s="43">
        <v>0.39330855018587363</v>
      </c>
      <c r="D86" s="51">
        <v>0.38</v>
      </c>
      <c r="E86" s="51">
        <v>0.38</v>
      </c>
      <c r="F86" s="51">
        <v>0.38</v>
      </c>
      <c r="G86" s="51">
        <v>0.38</v>
      </c>
      <c r="H86" s="51">
        <v>0.38</v>
      </c>
    </row>
    <row r="87" spans="2:8">
      <c r="C87" s="40"/>
    </row>
    <row r="88" spans="2:8">
      <c r="B88" s="37" t="s">
        <v>243</v>
      </c>
      <c r="C88" s="38">
        <v>3322</v>
      </c>
      <c r="D88" s="39">
        <v>3000</v>
      </c>
      <c r="E88" s="39">
        <v>2700</v>
      </c>
      <c r="F88" s="39">
        <v>2400</v>
      </c>
      <c r="G88" s="39">
        <v>2200</v>
      </c>
      <c r="H88" s="39">
        <v>2000</v>
      </c>
    </row>
    <row r="89" spans="2:8">
      <c r="B89" s="34" t="s">
        <v>244</v>
      </c>
      <c r="C89" s="56"/>
      <c r="D89" s="50">
        <f>D88/C88-1</f>
        <v>-9.6929560505719436E-2</v>
      </c>
      <c r="E89" s="50">
        <f t="shared" ref="E89:H89" si="19">E88/D88-1</f>
        <v>-9.9999999999999978E-2</v>
      </c>
      <c r="F89" s="50">
        <f t="shared" si="19"/>
        <v>-0.11111111111111116</v>
      </c>
      <c r="G89" s="50">
        <f t="shared" si="19"/>
        <v>-8.333333333333337E-2</v>
      </c>
      <c r="H89" s="50">
        <f t="shared" si="19"/>
        <v>-9.0909090909090939E-2</v>
      </c>
    </row>
    <row r="90" spans="2:8">
      <c r="C90" s="40"/>
    </row>
    <row r="91" spans="2:8">
      <c r="B91" s="37" t="s">
        <v>184</v>
      </c>
      <c r="C91" s="38">
        <v>3013</v>
      </c>
      <c r="D91" s="39">
        <f>D92*D78/365</f>
        <v>2857.4112328767114</v>
      </c>
      <c r="E91" s="39">
        <f>E92*E78/365</f>
        <v>3055.0797961643839</v>
      </c>
      <c r="F91" s="39">
        <f>F92*F78/365</f>
        <v>3224.8627093479458</v>
      </c>
      <c r="G91" s="39">
        <f>G92*G78/365</f>
        <v>3390.6008298950142</v>
      </c>
      <c r="H91" s="39">
        <f>H92*H78/365</f>
        <v>3565.5875123857854</v>
      </c>
    </row>
    <row r="92" spans="2:8">
      <c r="B92" s="34" t="s">
        <v>250</v>
      </c>
      <c r="C92" s="45">
        <v>59.339826255867912</v>
      </c>
      <c r="D92" s="46">
        <v>55</v>
      </c>
      <c r="E92" s="46">
        <v>54</v>
      </c>
      <c r="F92" s="46">
        <v>54</v>
      </c>
      <c r="G92" s="46">
        <v>54</v>
      </c>
      <c r="H92" s="46">
        <v>54</v>
      </c>
    </row>
    <row r="93" spans="2:8">
      <c r="B93" s="37" t="s">
        <v>185</v>
      </c>
      <c r="C93" s="38">
        <v>3748</v>
      </c>
      <c r="D93" s="52">
        <f>D94*D78/365</f>
        <v>3636.7052054794513</v>
      </c>
      <c r="E93" s="52">
        <f>E94*E78/365</f>
        <v>3903.7130728767124</v>
      </c>
      <c r="F93" s="52">
        <f>F94*F78/365</f>
        <v>4120.6579063890422</v>
      </c>
      <c r="G93" s="52">
        <f>G94*G78/365</f>
        <v>4332.4343937547401</v>
      </c>
      <c r="H93" s="52">
        <f>H94*H78/365</f>
        <v>4556.0284880485033</v>
      </c>
    </row>
    <row r="94" spans="2:8">
      <c r="B94" s="54" t="s">
        <v>185</v>
      </c>
      <c r="C94" s="45">
        <v>73.815356391302004</v>
      </c>
      <c r="D94" s="46">
        <v>70</v>
      </c>
      <c r="E94" s="46">
        <v>69</v>
      </c>
      <c r="F94" s="46">
        <v>69</v>
      </c>
      <c r="G94" s="46">
        <v>69</v>
      </c>
      <c r="H94" s="46">
        <v>69</v>
      </c>
    </row>
    <row r="95" spans="2:8">
      <c r="B95" s="37" t="s">
        <v>186</v>
      </c>
      <c r="C95" s="38">
        <v>4879</v>
      </c>
      <c r="D95" s="39">
        <f>D96*((-'Full Historical 3-Statement'!$F$17*1.03)/365)</f>
        <v>5191.6458630136985</v>
      </c>
      <c r="E95" s="39">
        <v>5147.4926131506854</v>
      </c>
      <c r="F95" s="39">
        <v>5301.9173915452056</v>
      </c>
      <c r="G95" s="39">
        <v>5460.9749132915613</v>
      </c>
      <c r="H95" s="39">
        <v>5624.804160690308</v>
      </c>
    </row>
    <row r="96" spans="2:8">
      <c r="B96" s="46" t="s">
        <v>186</v>
      </c>
      <c r="C96" s="45">
        <v>103.57304873793184</v>
      </c>
      <c r="D96" s="46">
        <v>107</v>
      </c>
      <c r="E96" s="46">
        <v>106</v>
      </c>
      <c r="F96" s="46">
        <v>106</v>
      </c>
      <c r="G96" s="46">
        <v>106</v>
      </c>
      <c r="H96" s="46">
        <v>106</v>
      </c>
    </row>
    <row r="99" spans="2:8">
      <c r="B99" s="84" t="s">
        <v>254</v>
      </c>
      <c r="C99" s="84"/>
      <c r="D99" s="84"/>
      <c r="E99" s="84"/>
      <c r="F99" s="84"/>
      <c r="G99" s="84"/>
      <c r="H99" s="84"/>
    </row>
    <row r="100" spans="2:8">
      <c r="B100" s="8"/>
      <c r="C100" s="32" t="s">
        <v>71</v>
      </c>
      <c r="D100" s="32" t="s">
        <v>175</v>
      </c>
      <c r="E100" s="32" t="s">
        <v>230</v>
      </c>
      <c r="F100" s="32" t="s">
        <v>231</v>
      </c>
      <c r="G100" s="32" t="s">
        <v>232</v>
      </c>
      <c r="H100" s="32" t="s">
        <v>233</v>
      </c>
    </row>
    <row r="101" spans="2:8">
      <c r="B101" s="12" t="s">
        <v>225</v>
      </c>
      <c r="C101" s="33">
        <v>8122</v>
      </c>
      <c r="D101" s="13">
        <f>C101*(1+D102)</f>
        <v>9583.9599999999991</v>
      </c>
      <c r="E101" s="13">
        <f t="shared" ref="E101" si="20">D101*(1+E102)</f>
        <v>8817.243199999999</v>
      </c>
      <c r="F101" s="13">
        <f t="shared" ref="F101" si="21">E101*(1+F102)</f>
        <v>8817.243199999999</v>
      </c>
      <c r="G101" s="13">
        <f t="shared" ref="G101" si="22">F101*(1+G102)</f>
        <v>8993.5880639999996</v>
      </c>
      <c r="H101" s="13">
        <f t="shared" ref="H101" si="23">G101*(1+H102)</f>
        <v>9173.4598252800006</v>
      </c>
    </row>
    <row r="102" spans="2:8">
      <c r="B102" s="34" t="s">
        <v>234</v>
      </c>
      <c r="C102" s="45"/>
      <c r="D102" s="50">
        <v>0.18</v>
      </c>
      <c r="E102" s="50">
        <v>-0.08</v>
      </c>
      <c r="F102" s="50">
        <v>0</v>
      </c>
      <c r="G102" s="50">
        <v>0.02</v>
      </c>
      <c r="H102" s="50">
        <v>0.02</v>
      </c>
    </row>
    <row r="103" spans="2:8">
      <c r="B103" s="12" t="s">
        <v>226</v>
      </c>
      <c r="C103" s="33">
        <v>6651</v>
      </c>
      <c r="D103" s="13">
        <f>C103*(1+D104)</f>
        <v>6384.96</v>
      </c>
      <c r="E103" s="13">
        <f t="shared" ref="E103" si="24">D103*(1+E104)</f>
        <v>6384.96</v>
      </c>
      <c r="F103" s="13">
        <f t="shared" ref="F103" si="25">E103*(1+F104)</f>
        <v>6129.5616</v>
      </c>
      <c r="G103" s="13">
        <f t="shared" ref="G103" si="26">F103*(1+G104)</f>
        <v>6129.5616</v>
      </c>
      <c r="H103" s="13">
        <f t="shared" ref="H103" si="27">G103*(1+H104)</f>
        <v>6129.5616</v>
      </c>
    </row>
    <row r="104" spans="2:8">
      <c r="B104" s="34" t="s">
        <v>235</v>
      </c>
      <c r="C104" s="45"/>
      <c r="D104" s="50">
        <v>-0.04</v>
      </c>
      <c r="E104" s="50">
        <v>0</v>
      </c>
      <c r="F104" s="50">
        <v>-0.04</v>
      </c>
      <c r="G104" s="50">
        <v>0</v>
      </c>
      <c r="H104" s="50">
        <v>0</v>
      </c>
    </row>
    <row r="105" spans="2:8">
      <c r="B105" s="12" t="s">
        <v>227</v>
      </c>
      <c r="C105" s="33">
        <v>472</v>
      </c>
      <c r="D105" s="13">
        <f>C105*(1+D106)</f>
        <v>637.20000000000005</v>
      </c>
      <c r="E105" s="13">
        <f t="shared" ref="E105" si="28">D105*(1+E106)</f>
        <v>605.34</v>
      </c>
      <c r="F105" s="13">
        <f t="shared" ref="F105" si="29">E105*(1+F106)</f>
        <v>605.34</v>
      </c>
      <c r="G105" s="13">
        <f t="shared" ref="G105" si="30">F105*(1+G106)</f>
        <v>611.39340000000004</v>
      </c>
      <c r="H105" s="13">
        <f t="shared" ref="H105" si="31">G105*(1+H106)</f>
        <v>617.50733400000001</v>
      </c>
    </row>
    <row r="106" spans="2:8">
      <c r="B106" s="34" t="s">
        <v>236</v>
      </c>
      <c r="C106" s="45"/>
      <c r="D106" s="50">
        <v>0.35</v>
      </c>
      <c r="E106" s="50">
        <v>-0.05</v>
      </c>
      <c r="F106" s="50">
        <v>0</v>
      </c>
      <c r="G106" s="50">
        <v>0.01</v>
      </c>
      <c r="H106" s="50">
        <v>0.01</v>
      </c>
    </row>
    <row r="107" spans="2:8">
      <c r="B107" s="12" t="s">
        <v>228</v>
      </c>
      <c r="C107" s="33">
        <v>195</v>
      </c>
      <c r="D107" s="13">
        <f>C107*(1+D108)</f>
        <v>195</v>
      </c>
      <c r="E107" s="13">
        <f t="shared" ref="E107" si="32">D107*(1+E108)</f>
        <v>195</v>
      </c>
      <c r="F107" s="13">
        <f t="shared" ref="F107" si="33">E107*(1+F108)</f>
        <v>196.95</v>
      </c>
      <c r="G107" s="13">
        <f t="shared" ref="G107" si="34">F107*(1+G108)</f>
        <v>198.9195</v>
      </c>
      <c r="H107" s="13">
        <f t="shared" ref="H107" si="35">G107*(1+H108)</f>
        <v>200.90869499999999</v>
      </c>
    </row>
    <row r="108" spans="2:8">
      <c r="B108" s="34" t="s">
        <v>237</v>
      </c>
      <c r="C108" s="45"/>
      <c r="D108" s="50">
        <v>0</v>
      </c>
      <c r="E108" s="50">
        <v>0</v>
      </c>
      <c r="F108" s="50">
        <v>0.01</v>
      </c>
      <c r="G108" s="50">
        <v>0.01</v>
      </c>
      <c r="H108" s="50">
        <v>0.01</v>
      </c>
    </row>
    <row r="109" spans="2:8">
      <c r="B109" s="12" t="s">
        <v>229</v>
      </c>
      <c r="C109" s="33">
        <v>392</v>
      </c>
      <c r="D109" s="13">
        <f>C109*(1+D110)</f>
        <v>392</v>
      </c>
      <c r="E109" s="13">
        <f t="shared" ref="E109" si="36">D109*(1+E110)</f>
        <v>392</v>
      </c>
      <c r="F109" s="13">
        <f t="shared" ref="F109" si="37">E109*(1+F110)</f>
        <v>395.92</v>
      </c>
      <c r="G109" s="13">
        <f t="shared" ref="G109" si="38">F109*(1+G110)</f>
        <v>399.87920000000003</v>
      </c>
      <c r="H109" s="13">
        <f t="shared" ref="H109" si="39">G109*(1+H110)</f>
        <v>403.87799200000001</v>
      </c>
    </row>
    <row r="110" spans="2:8">
      <c r="B110" s="34" t="s">
        <v>242</v>
      </c>
      <c r="C110" s="45"/>
      <c r="D110" s="50">
        <v>0</v>
      </c>
      <c r="E110" s="50">
        <v>0</v>
      </c>
      <c r="F110" s="50">
        <v>0.01</v>
      </c>
      <c r="G110" s="50">
        <v>0.01</v>
      </c>
      <c r="H110" s="50">
        <v>0.01</v>
      </c>
    </row>
    <row r="111" spans="2:8">
      <c r="B111" s="37" t="s">
        <v>222</v>
      </c>
      <c r="C111" s="38">
        <v>18533</v>
      </c>
      <c r="D111" s="52">
        <f>D101+D103+D105+D107+D109</f>
        <v>17193.12</v>
      </c>
      <c r="E111" s="52">
        <f t="shared" ref="E111:H111" si="40">E101+E103+E105+E107+E109</f>
        <v>16394.5432</v>
      </c>
      <c r="F111" s="52">
        <f t="shared" si="40"/>
        <v>16145.014799999999</v>
      </c>
      <c r="G111" s="52">
        <f t="shared" si="40"/>
        <v>16333.341764000001</v>
      </c>
      <c r="H111" s="52">
        <f t="shared" si="40"/>
        <v>16525.315446280001</v>
      </c>
    </row>
    <row r="112" spans="2:8">
      <c r="C112" s="55"/>
    </row>
    <row r="113" spans="2:8">
      <c r="B113" s="37" t="s">
        <v>5</v>
      </c>
      <c r="C113" s="38">
        <v>6417</v>
      </c>
      <c r="D113" s="39">
        <f>D111*D114</f>
        <v>7221.1103999999996</v>
      </c>
      <c r="E113" s="39">
        <f t="shared" ref="E113" si="41">E111*E114</f>
        <v>6885.7081440000002</v>
      </c>
      <c r="F113" s="39">
        <f t="shared" ref="F113" si="42">F111*F114</f>
        <v>6619.4560679999995</v>
      </c>
      <c r="G113" s="39">
        <f t="shared" ref="G113" si="43">G111*G114</f>
        <v>6696.6701232400001</v>
      </c>
      <c r="H113" s="39">
        <f t="shared" ref="H113" si="44">H111*H114</f>
        <v>6775.3793329748005</v>
      </c>
    </row>
    <row r="114" spans="2:8">
      <c r="B114" s="34" t="s">
        <v>246</v>
      </c>
      <c r="C114" s="49">
        <v>0.34624723466249391</v>
      </c>
      <c r="D114" s="50">
        <v>0.42</v>
      </c>
      <c r="E114" s="50">
        <v>0.42</v>
      </c>
      <c r="F114" s="50">
        <v>0.41</v>
      </c>
      <c r="G114" s="50">
        <v>0.41</v>
      </c>
      <c r="H114" s="50">
        <v>0.41</v>
      </c>
    </row>
    <row r="115" spans="2:8">
      <c r="C115" s="40"/>
    </row>
    <row r="116" spans="2:8">
      <c r="B116" s="39" t="s">
        <v>6</v>
      </c>
      <c r="C116" s="38">
        <v>2382</v>
      </c>
      <c r="D116" s="39">
        <f>D111*D117</f>
        <v>2235.1055999999999</v>
      </c>
      <c r="E116" s="39">
        <f t="shared" ref="E116:H116" si="45">E111*E117</f>
        <v>2049.3179</v>
      </c>
      <c r="F116" s="39">
        <f t="shared" si="45"/>
        <v>2018.1268499999999</v>
      </c>
      <c r="G116" s="39">
        <f t="shared" si="45"/>
        <v>2041.6677205000001</v>
      </c>
      <c r="H116" s="39">
        <f t="shared" si="45"/>
        <v>2065.6644307850001</v>
      </c>
    </row>
    <row r="117" spans="2:8">
      <c r="B117" s="34" t="s">
        <v>174</v>
      </c>
      <c r="C117" s="49">
        <v>0.12852749150164572</v>
      </c>
      <c r="D117" s="50">
        <v>0.13</v>
      </c>
      <c r="E117" s="50">
        <v>0.125</v>
      </c>
      <c r="F117" s="50">
        <v>0.125</v>
      </c>
      <c r="G117" s="50">
        <v>0.125</v>
      </c>
      <c r="H117" s="50">
        <v>0.125</v>
      </c>
    </row>
    <row r="118" spans="2:8">
      <c r="C118" s="40"/>
    </row>
    <row r="119" spans="2:8">
      <c r="B119" s="37" t="s">
        <v>180</v>
      </c>
      <c r="C119" s="43">
        <v>0.39330855018587363</v>
      </c>
      <c r="D119" s="51">
        <v>0.42</v>
      </c>
      <c r="E119" s="51">
        <v>0.42</v>
      </c>
      <c r="F119" s="51">
        <v>0.42</v>
      </c>
      <c r="G119" s="51">
        <v>0.42</v>
      </c>
      <c r="H119" s="51">
        <v>0.42</v>
      </c>
    </row>
    <row r="120" spans="2:8">
      <c r="C120" s="40"/>
    </row>
    <row r="121" spans="2:8">
      <c r="B121" s="37" t="s">
        <v>243</v>
      </c>
      <c r="C121" s="38">
        <v>3322</v>
      </c>
      <c r="D121" s="39">
        <v>3300</v>
      </c>
      <c r="E121" s="39">
        <v>3200</v>
      </c>
      <c r="F121" s="39">
        <v>3000</v>
      </c>
      <c r="G121" s="39">
        <v>3200</v>
      </c>
      <c r="H121" s="39">
        <v>3500</v>
      </c>
    </row>
    <row r="122" spans="2:8">
      <c r="B122" s="34" t="s">
        <v>244</v>
      </c>
      <c r="C122" s="56"/>
      <c r="D122" s="50">
        <f>D121/C121-1</f>
        <v>-6.6225165562914245E-3</v>
      </c>
      <c r="E122" s="50">
        <f t="shared" ref="E122" si="46">E121/D121-1</f>
        <v>-3.0303030303030276E-2</v>
      </c>
      <c r="F122" s="50">
        <f t="shared" ref="F122" si="47">F121/E121-1</f>
        <v>-6.25E-2</v>
      </c>
      <c r="G122" s="50">
        <f t="shared" ref="G122" si="48">G121/F121-1</f>
        <v>6.6666666666666652E-2</v>
      </c>
      <c r="H122" s="50">
        <f t="shared" ref="H122" si="49">H121/G121-1</f>
        <v>9.375E-2</v>
      </c>
    </row>
    <row r="123" spans="2:8">
      <c r="C123" s="40"/>
    </row>
    <row r="124" spans="2:8">
      <c r="B124" s="37" t="s">
        <v>184</v>
      </c>
      <c r="C124" s="38">
        <v>3013</v>
      </c>
      <c r="D124" s="39">
        <f>D125*D111/365</f>
        <v>2920.4751780821916</v>
      </c>
      <c r="E124" s="39">
        <f>E125*E111/365</f>
        <v>2739.9099594520549</v>
      </c>
      <c r="F124" s="39">
        <f>F125*F111/365</f>
        <v>2698.2079528767122</v>
      </c>
      <c r="G124" s="39">
        <f>G125*G111/365</f>
        <v>2729.6817742575345</v>
      </c>
      <c r="H124" s="39">
        <f>H125*H111/365</f>
        <v>2761.7650471865204</v>
      </c>
    </row>
    <row r="125" spans="2:8">
      <c r="B125" s="34" t="s">
        <v>250</v>
      </c>
      <c r="C125" s="45">
        <v>59.339826255867912</v>
      </c>
      <c r="D125" s="46">
        <v>62</v>
      </c>
      <c r="E125" s="46">
        <v>61</v>
      </c>
      <c r="F125" s="46">
        <v>61</v>
      </c>
      <c r="G125" s="46">
        <v>61</v>
      </c>
      <c r="H125" s="46">
        <v>61</v>
      </c>
    </row>
    <row r="126" spans="2:8">
      <c r="B126" s="37" t="s">
        <v>185</v>
      </c>
      <c r="C126" s="38">
        <v>3748</v>
      </c>
      <c r="D126" s="52">
        <f>D127*D111/365</f>
        <v>3674.1461917808215</v>
      </c>
      <c r="E126" s="52">
        <f>E127*E111/365</f>
        <v>3458.5748668493147</v>
      </c>
      <c r="F126" s="52">
        <f>F127*F111/365</f>
        <v>3405.9346290410954</v>
      </c>
      <c r="G126" s="52">
        <f>G127*G111/365</f>
        <v>3445.6638789808217</v>
      </c>
      <c r="H126" s="52">
        <f>H127*H111/365</f>
        <v>3486.1624366124934</v>
      </c>
    </row>
    <row r="127" spans="2:8">
      <c r="B127" s="46" t="s">
        <v>185</v>
      </c>
      <c r="C127" s="45">
        <v>73.815356391302004</v>
      </c>
      <c r="D127" s="46">
        <v>78</v>
      </c>
      <c r="E127" s="46">
        <v>77</v>
      </c>
      <c r="F127" s="46">
        <v>77</v>
      </c>
      <c r="G127" s="46">
        <v>77</v>
      </c>
      <c r="H127" s="46">
        <v>77</v>
      </c>
    </row>
    <row r="128" spans="2:8">
      <c r="B128" s="37" t="s">
        <v>186</v>
      </c>
      <c r="C128" s="38">
        <v>4879</v>
      </c>
      <c r="D128" s="39">
        <f>D129*((-'Full Historical 3-Statement'!$F$17*1.03)/365)</f>
        <v>4852.0054794520547</v>
      </c>
      <c r="E128" s="39">
        <v>5147.4926131506854</v>
      </c>
      <c r="F128" s="39">
        <v>5301.9173915452056</v>
      </c>
      <c r="G128" s="39">
        <v>5460.9749132915613</v>
      </c>
      <c r="H128" s="39">
        <v>5624.804160690308</v>
      </c>
    </row>
    <row r="129" spans="2:8">
      <c r="B129" s="46" t="s">
        <v>186</v>
      </c>
      <c r="C129" s="45">
        <v>103.57304873793184</v>
      </c>
      <c r="D129" s="46">
        <v>100</v>
      </c>
      <c r="E129" s="46">
        <v>100</v>
      </c>
      <c r="F129" s="46">
        <v>100</v>
      </c>
      <c r="G129" s="46">
        <v>100</v>
      </c>
      <c r="H129" s="46">
        <v>100</v>
      </c>
    </row>
  </sheetData>
  <mergeCells count="4">
    <mergeCell ref="B66:H66"/>
    <mergeCell ref="B34:H34"/>
    <mergeCell ref="B2:H2"/>
    <mergeCell ref="B99:H99"/>
  </mergeCells>
  <pageMargins left="0.7" right="0.7" top="0.75" bottom="0.75" header="0.3" footer="0.3"/>
  <ignoredErrors>
    <ignoredError sqref="D7:H7 D9:H9 D11:H11 D5:H5" 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A7E9C3-6FA3-ED44-8714-B5DD3178BE9E}">
  <dimension ref="B3:C10"/>
  <sheetViews>
    <sheetView showGridLines="0" workbookViewId="0">
      <selection sqref="A1:XFD1048576"/>
    </sheetView>
  </sheetViews>
  <sheetFormatPr baseColWidth="10" defaultRowHeight="16"/>
  <cols>
    <col min="1" max="1" width="9.33203125" style="12" customWidth="1"/>
    <col min="2" max="2" width="20.83203125" style="12" customWidth="1"/>
    <col min="3" max="3" width="105.6640625" style="12" customWidth="1"/>
    <col min="4" max="16384" width="10.83203125" style="12"/>
  </cols>
  <sheetData>
    <row r="3" spans="2:3">
      <c r="B3" s="8" t="s">
        <v>223</v>
      </c>
      <c r="C3" s="8" t="s">
        <v>224</v>
      </c>
    </row>
    <row r="4" spans="2:3" ht="175" customHeight="1">
      <c r="B4" s="12" t="s">
        <v>225</v>
      </c>
      <c r="C4" s="83" t="s">
        <v>238</v>
      </c>
    </row>
    <row r="5" spans="2:3" ht="119">
      <c r="B5" s="12" t="s">
        <v>226</v>
      </c>
      <c r="C5" s="83" t="s">
        <v>239</v>
      </c>
    </row>
    <row r="6" spans="2:3" ht="51">
      <c r="B6" s="12" t="s">
        <v>227</v>
      </c>
      <c r="C6" s="83" t="s">
        <v>240</v>
      </c>
    </row>
    <row r="7" spans="2:3" ht="68">
      <c r="B7" s="12" t="s">
        <v>228</v>
      </c>
      <c r="C7" s="83" t="s">
        <v>241</v>
      </c>
    </row>
    <row r="8" spans="2:3" ht="102">
      <c r="B8" s="12" t="s">
        <v>5</v>
      </c>
      <c r="C8" s="83" t="s">
        <v>245</v>
      </c>
    </row>
    <row r="9" spans="2:3" ht="34">
      <c r="B9" s="12" t="s">
        <v>247</v>
      </c>
      <c r="C9" s="83" t="s">
        <v>248</v>
      </c>
    </row>
    <row r="10" spans="2:3" ht="17">
      <c r="B10" s="12" t="s">
        <v>243</v>
      </c>
      <c r="C10" s="83" t="s">
        <v>249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5"/>
  <sheetViews>
    <sheetView showGridLines="0" topLeftCell="A8" workbookViewId="0">
      <selection activeCell="A33" sqref="A33:F33"/>
    </sheetView>
  </sheetViews>
  <sheetFormatPr baseColWidth="10" defaultColWidth="8.83203125" defaultRowHeight="14"/>
  <cols>
    <col min="1" max="1" width="47" style="6" customWidth="1"/>
    <col min="2" max="6" width="13" style="6" customWidth="1"/>
    <col min="7" max="16384" width="8.83203125" style="6"/>
  </cols>
  <sheetData>
    <row r="1" spans="1:6" ht="18">
      <c r="A1" s="14" t="s">
        <v>0</v>
      </c>
      <c r="B1" s="14"/>
      <c r="C1" s="14"/>
      <c r="D1" s="14"/>
      <c r="E1" s="14"/>
      <c r="F1" s="14"/>
    </row>
    <row r="2" spans="1:6">
      <c r="A2" s="15" t="s">
        <v>1</v>
      </c>
      <c r="B2" s="15"/>
      <c r="C2" s="15"/>
      <c r="D2" s="15"/>
      <c r="E2" s="15"/>
      <c r="F2" s="15"/>
    </row>
    <row r="3" spans="1:6">
      <c r="A3" s="16"/>
      <c r="B3" s="16"/>
      <c r="C3" s="16"/>
      <c r="D3" s="16"/>
      <c r="E3" s="16"/>
      <c r="F3" s="16"/>
    </row>
    <row r="4" spans="1:6">
      <c r="A4" s="16"/>
      <c r="B4" s="16"/>
      <c r="C4" s="16"/>
      <c r="D4" s="16"/>
      <c r="E4" s="16"/>
      <c r="F4" s="16"/>
    </row>
    <row r="13" spans="1:6">
      <c r="A13" s="17" t="s">
        <v>2</v>
      </c>
      <c r="B13" s="17">
        <v>2021</v>
      </c>
      <c r="C13" s="17">
        <v>2022</v>
      </c>
      <c r="D13" s="17">
        <v>2023</v>
      </c>
      <c r="E13" s="17">
        <v>2024</v>
      </c>
      <c r="F13" s="17">
        <v>2025</v>
      </c>
    </row>
    <row r="15" spans="1:6">
      <c r="A15" s="21" t="s">
        <v>3</v>
      </c>
      <c r="B15" s="21"/>
      <c r="C15" s="21"/>
      <c r="D15" s="21"/>
      <c r="E15" s="21"/>
      <c r="F15" s="21"/>
    </row>
    <row r="16" spans="1:6">
      <c r="A16" s="6" t="s">
        <v>4</v>
      </c>
      <c r="B16" s="9">
        <f>'Full Historical 3-Statement'!B7</f>
        <v>41554</v>
      </c>
      <c r="C16" s="9">
        <f>'Full Historical 3-Statement'!C7</f>
        <v>35118</v>
      </c>
      <c r="D16" s="9">
        <f>'Full Historical 3-Statement'!D7</f>
        <v>30652</v>
      </c>
      <c r="E16" s="9">
        <f>'Full Historical 3-Statement'!E7</f>
        <v>27290</v>
      </c>
      <c r="F16" s="9">
        <f>'Full Historical 3-Statement'!F7</f>
        <v>18546</v>
      </c>
    </row>
    <row r="17" spans="1:6">
      <c r="A17" s="11" t="s">
        <v>5</v>
      </c>
      <c r="B17" s="9">
        <f>'Full Historical 3-Statement'!B8</f>
        <v>20634</v>
      </c>
      <c r="C17" s="9">
        <f>'Full Historical 3-Statement'!C8</f>
        <v>14495</v>
      </c>
      <c r="D17" s="9">
        <f>'Full Historical 3-Statement'!D8</f>
        <v>9958</v>
      </c>
      <c r="E17" s="9">
        <f>'Full Historical 3-Statement'!E8</f>
        <v>8460</v>
      </c>
      <c r="F17" s="9">
        <f>'Full Historical 3-Statement'!F8</f>
        <v>6417</v>
      </c>
    </row>
    <row r="18" spans="1:6">
      <c r="A18" s="6" t="s">
        <v>6</v>
      </c>
      <c r="B18" s="9">
        <f>'Full Historical 3-Statement'!B9</f>
        <v>2844</v>
      </c>
      <c r="C18" s="9">
        <f>'Full Historical 3-Statement'!C9</f>
        <v>2532</v>
      </c>
      <c r="D18" s="9">
        <f>'Full Historical 3-Statement'!D9</f>
        <v>2790</v>
      </c>
      <c r="E18" s="9">
        <f>'Full Historical 3-Statement'!E9</f>
        <v>3175</v>
      </c>
      <c r="F18" s="9">
        <f>'Full Historical 3-Statement'!F9</f>
        <v>2382</v>
      </c>
    </row>
    <row r="19" spans="1:6">
      <c r="A19" s="11" t="s">
        <v>7</v>
      </c>
      <c r="B19" s="9">
        <f>'Full Historical 3-Statement'!B10</f>
        <v>17790</v>
      </c>
      <c r="C19" s="9">
        <f>'Full Historical 3-Statement'!C10</f>
        <v>11963</v>
      </c>
      <c r="D19" s="9">
        <f>'Full Historical 3-Statement'!D10</f>
        <v>7168</v>
      </c>
      <c r="E19" s="9">
        <f>'Full Historical 3-Statement'!E10</f>
        <v>5285</v>
      </c>
      <c r="F19" s="9">
        <f>'Full Historical 3-Statement'!F10</f>
        <v>4035</v>
      </c>
    </row>
    <row r="20" spans="1:6">
      <c r="A20" s="6" t="s">
        <v>8</v>
      </c>
      <c r="B20" s="9">
        <f>'Full Historical 3-Statement'!B32-'Full Historical 3-Statement'!B10</f>
        <v>-9228</v>
      </c>
      <c r="C20" s="9">
        <f>'Full Historical 3-Statement'!C32-'Full Historical 3-Statement'!C10</f>
        <v>-7449</v>
      </c>
      <c r="D20" s="9">
        <f>'Full Historical 3-Statement'!D32-'Full Historical 3-Statement'!D10</f>
        <v>-6885</v>
      </c>
      <c r="E20" s="9">
        <f>'Full Historical 3-Statement'!E32-'Full Historical 3-Statement'!E10</f>
        <v>-8353</v>
      </c>
      <c r="F20" s="9">
        <f>'Full Historical 3-Statement'!F32-'Full Historical 3-Statement'!F10</f>
        <v>-7776</v>
      </c>
    </row>
    <row r="21" spans="1:6">
      <c r="A21" s="18" t="s">
        <v>9</v>
      </c>
      <c r="B21" s="19">
        <f>'Full Historical 3-Statement'!B32</f>
        <v>8562</v>
      </c>
      <c r="C21" s="19">
        <f>'Full Historical 3-Statement'!C32</f>
        <v>4514</v>
      </c>
      <c r="D21" s="19">
        <f>'Full Historical 3-Statement'!D32</f>
        <v>283</v>
      </c>
      <c r="E21" s="19">
        <f>'Full Historical 3-Statement'!E32</f>
        <v>-3068</v>
      </c>
      <c r="F21" s="19">
        <f>'Full Historical 3-Statement'!F32</f>
        <v>-3741</v>
      </c>
    </row>
    <row r="22" spans="1:6">
      <c r="B22" s="10"/>
      <c r="C22" s="10"/>
      <c r="D22" s="10"/>
      <c r="E22" s="10"/>
      <c r="F22" s="10"/>
    </row>
    <row r="23" spans="1:6">
      <c r="B23" s="10"/>
      <c r="C23" s="10"/>
      <c r="D23" s="10"/>
      <c r="E23" s="10"/>
      <c r="F23" s="10"/>
    </row>
    <row r="24" spans="1:6">
      <c r="A24" s="21" t="s">
        <v>10</v>
      </c>
      <c r="B24" s="22"/>
      <c r="C24" s="22"/>
      <c r="D24" s="22"/>
      <c r="E24" s="22"/>
      <c r="F24" s="22"/>
    </row>
    <row r="25" spans="1:6">
      <c r="A25" s="11" t="s">
        <v>11</v>
      </c>
      <c r="B25" s="9">
        <f>'Full Historical 3-Statement'!B55</f>
        <v>16723</v>
      </c>
      <c r="C25" s="9">
        <f>'Full Historical 3-Statement'!C55</f>
        <v>9765</v>
      </c>
      <c r="D25" s="9">
        <f>'Full Historical 3-Statement'!D55</f>
        <v>6496</v>
      </c>
      <c r="E25" s="9">
        <f>'Full Historical 3-Statement'!E55</f>
        <v>8103</v>
      </c>
      <c r="F25" s="9">
        <f>'Full Historical 3-Statement'!F55</f>
        <v>5511</v>
      </c>
    </row>
    <row r="26" spans="1:6">
      <c r="A26" s="6" t="s">
        <v>12</v>
      </c>
      <c r="B26" s="9">
        <f>'Full Historical 3-Statement'!B11</f>
        <v>-5193</v>
      </c>
      <c r="C26" s="9">
        <f>'Full Historical 3-Statement'!C11</f>
        <v>-5738</v>
      </c>
      <c r="D26" s="9">
        <f>'Full Historical 3-Statement'!D11</f>
        <v>-5734</v>
      </c>
      <c r="E26" s="9">
        <f>'Full Historical 3-Statement'!E11</f>
        <v>-5490</v>
      </c>
      <c r="F26" s="9">
        <f>'Full Historical 3-Statement'!F11</f>
        <v>-3322</v>
      </c>
    </row>
    <row r="27" spans="1:6">
      <c r="A27" s="6" t="s">
        <v>13</v>
      </c>
      <c r="B27" s="9">
        <f>'Full Historical 3-Statement'!B68-'Full Historical 3-Statement'!B11</f>
        <v>-365</v>
      </c>
      <c r="C27" s="9">
        <f>'Full Historical 3-Statement'!C68-'Full Historical 3-Statement'!C11</f>
        <v>-79</v>
      </c>
      <c r="D27" s="9">
        <f>'Full Historical 3-Statement'!D68-'Full Historical 3-Statement'!D11</f>
        <v>174</v>
      </c>
      <c r="E27" s="9">
        <f>'Full Historical 3-Statement'!E68-'Full Historical 3-Statement'!E11</f>
        <v>355</v>
      </c>
      <c r="F27" s="9">
        <f>'Full Historical 3-Statement'!F68-'Full Historical 3-Statement'!F11</f>
        <v>1414</v>
      </c>
    </row>
    <row r="28" spans="1:6">
      <c r="A28" s="6" t="s">
        <v>14</v>
      </c>
      <c r="B28" s="9">
        <f>'Full Historical 3-Statement'!B82</f>
        <v>-9356</v>
      </c>
      <c r="C28" s="9">
        <f>'Full Historical 3-Statement'!C82</f>
        <v>-4368</v>
      </c>
      <c r="D28" s="9">
        <f>'Full Historical 3-Statement'!D82</f>
        <v>-3223</v>
      </c>
      <c r="E28" s="9">
        <f>'Full Historical 3-Statement'!E82</f>
        <v>-840</v>
      </c>
      <c r="F28" s="9">
        <f>'Full Historical 3-Statement'!F82</f>
        <v>-5491</v>
      </c>
    </row>
    <row r="29" spans="1:6">
      <c r="A29" s="6" t="s">
        <v>15</v>
      </c>
      <c r="B29" s="9">
        <f>'Full Historical 3-Statement'!B86</f>
        <v>-260</v>
      </c>
      <c r="C29" s="9">
        <f>'Full Historical 3-Statement'!C86</f>
        <v>-237</v>
      </c>
      <c r="D29" s="9">
        <f>'Full Historical 3-Statement'!D86</f>
        <v>-39</v>
      </c>
      <c r="E29" s="9">
        <f>'Full Historical 3-Statement'!E86</f>
        <v>-68</v>
      </c>
      <c r="F29" s="9">
        <f>'Full Historical 3-Statement'!F86</f>
        <v>172</v>
      </c>
    </row>
    <row r="30" spans="1:6">
      <c r="A30" s="18" t="s">
        <v>16</v>
      </c>
      <c r="B30" s="19">
        <f>'Full Historical 3-Statement'!B87</f>
        <v>9057</v>
      </c>
      <c r="C30" s="19">
        <f>'Full Historical 3-Statement'!C87</f>
        <v>8400</v>
      </c>
      <c r="D30" s="19">
        <f>'Full Historical 3-Statement'!D87</f>
        <v>6074</v>
      </c>
      <c r="E30" s="19">
        <f>'Full Historical 3-Statement'!E87</f>
        <v>8134</v>
      </c>
      <c r="F30" s="19">
        <f>'Full Historical 3-Statement'!F87</f>
        <v>6418</v>
      </c>
    </row>
    <row r="31" spans="1:6">
      <c r="B31" s="10"/>
      <c r="C31" s="10"/>
      <c r="D31" s="10"/>
      <c r="E31" s="10"/>
      <c r="F31" s="10"/>
    </row>
    <row r="32" spans="1:6">
      <c r="B32" s="10"/>
      <c r="C32" s="10"/>
      <c r="D32" s="10"/>
      <c r="E32" s="10"/>
      <c r="F32" s="10"/>
    </row>
    <row r="33" spans="1:6">
      <c r="A33" s="21" t="s">
        <v>17</v>
      </c>
      <c r="B33" s="22"/>
      <c r="C33" s="22"/>
      <c r="D33" s="22"/>
      <c r="E33" s="22"/>
      <c r="F33" s="22"/>
    </row>
    <row r="34" spans="1:6">
      <c r="A34" s="6" t="s">
        <v>18</v>
      </c>
      <c r="B34" s="9">
        <f>'Full Historical 3-Statement'!B110</f>
        <v>9066</v>
      </c>
      <c r="C34" s="9">
        <f>'Full Historical 3-Statement'!C110</f>
        <v>8412</v>
      </c>
      <c r="D34" s="9">
        <f>'Full Historical 3-Statement'!D110</f>
        <v>6088</v>
      </c>
      <c r="E34" s="9">
        <f>'Full Historical 3-Statement'!E110</f>
        <v>8167</v>
      </c>
      <c r="F34" s="9">
        <f>'Full Historical 3-Statement'!F110</f>
        <v>6436</v>
      </c>
    </row>
    <row r="35" spans="1:6">
      <c r="A35" s="6" t="s">
        <v>19</v>
      </c>
      <c r="B35" s="9">
        <f>'Full Historical 3-Statement'!B93</f>
        <v>39501</v>
      </c>
      <c r="C35" s="9">
        <f>'Full Historical 3-Statement'!C93</f>
        <v>41125</v>
      </c>
      <c r="D35" s="9">
        <f>'Full Historical 3-Statement'!D93</f>
        <v>43949</v>
      </c>
      <c r="E35" s="9">
        <f>'Full Historical 3-Statement'!E93</f>
        <v>40844</v>
      </c>
      <c r="F35" s="9">
        <f>'Full Historical 3-Statement'!F93</f>
        <v>34253</v>
      </c>
    </row>
    <row r="36" spans="1:6">
      <c r="A36" s="6" t="s">
        <v>20</v>
      </c>
      <c r="B36" s="9">
        <f>'Full Historical 3-Statement'!B113-'Full Historical 3-Statement'!B110-'Full Historical 3-Statement'!B93</f>
        <v>17418</v>
      </c>
      <c r="C36" s="9">
        <f>'Full Historical 3-Statement'!C113-'Full Historical 3-Statement'!C110-'Full Historical 3-Statement'!C93</f>
        <v>17870</v>
      </c>
      <c r="D36" s="9">
        <f>'Full Historical 3-Statement'!D113-'Full Historical 3-Statement'!D110-'Full Historical 3-Statement'!D93</f>
        <v>16507</v>
      </c>
      <c r="E36" s="9">
        <f>'Full Historical 3-Statement'!E113-'Full Historical 3-Statement'!E110-'Full Historical 3-Statement'!E93</f>
        <v>15855</v>
      </c>
      <c r="F36" s="9">
        <f>'Full Historical 3-Statement'!F113-'Full Historical 3-Statement'!F110-'Full Historical 3-Statement'!F93</f>
        <v>15305</v>
      </c>
    </row>
    <row r="37" spans="1:6">
      <c r="A37" s="18" t="s">
        <v>21</v>
      </c>
      <c r="B37" s="19">
        <f>'Full Historical 3-Statement'!B113</f>
        <v>65985</v>
      </c>
      <c r="C37" s="19">
        <f>'Full Historical 3-Statement'!C113</f>
        <v>67407</v>
      </c>
      <c r="D37" s="19">
        <f>'Full Historical 3-Statement'!D113</f>
        <v>66544</v>
      </c>
      <c r="E37" s="19">
        <f>'Full Historical 3-Statement'!E113</f>
        <v>64866</v>
      </c>
      <c r="F37" s="19">
        <f>'Full Historical 3-Statement'!F113</f>
        <v>55994</v>
      </c>
    </row>
    <row r="38" spans="1:6">
      <c r="A38" s="6" t="s">
        <v>22</v>
      </c>
      <c r="B38" s="9">
        <f>-('Full Historical 3-Statement'!B117+'Full Historical 3-Statement'!B125)</f>
        <v>12856</v>
      </c>
      <c r="C38" s="9">
        <f>-('Full Historical 3-Statement'!C117+'Full Historical 3-Statement'!C125)</f>
        <v>14365</v>
      </c>
      <c r="D38" s="9">
        <f>-('Full Historical 3-Statement'!D117+'Full Historical 3-Statement'!D125)</f>
        <v>16912</v>
      </c>
      <c r="E38" s="9">
        <f>-('Full Historical 3-Statement'!E117+'Full Historical 3-Statement'!E125)</f>
        <v>18210</v>
      </c>
      <c r="F38" s="9">
        <f>-('Full Historical 3-Statement'!F117+'Full Historical 3-Statement'!F125)</f>
        <v>15481</v>
      </c>
    </row>
    <row r="39" spans="1:6">
      <c r="A39" s="6" t="s">
        <v>23</v>
      </c>
      <c r="B39" s="9">
        <f>-'Full Historical 3-Statement'!B133-B38</f>
        <v>18359</v>
      </c>
      <c r="C39" s="9">
        <f>-'Full Historical 3-Statement'!C133-C38</f>
        <v>19089</v>
      </c>
      <c r="D39" s="9">
        <f>-'Full Historical 3-Statement'!D133-D38</f>
        <v>18015</v>
      </c>
      <c r="E39" s="9">
        <f>-'Full Historical 3-Statement'!E133-E38</f>
        <v>18123</v>
      </c>
      <c r="F39" s="9">
        <f>-'Full Historical 3-Statement'!F133-F38</f>
        <v>16396</v>
      </c>
    </row>
    <row r="40" spans="1:6">
      <c r="A40" s="18" t="s">
        <v>24</v>
      </c>
      <c r="B40" s="19">
        <f>'Full Historical 3-Statement'!B144</f>
        <v>34770</v>
      </c>
      <c r="C40" s="19">
        <f>'Full Historical 3-Statement'!C144</f>
        <v>33953</v>
      </c>
      <c r="D40" s="19">
        <f>'Full Historical 3-Statement'!D144</f>
        <v>31617</v>
      </c>
      <c r="E40" s="19">
        <f>'Full Historical 3-Statement'!E144</f>
        <v>28533</v>
      </c>
      <c r="F40" s="19">
        <f>'Full Historical 3-Statement'!F144</f>
        <v>24117</v>
      </c>
    </row>
    <row r="41" spans="1:6">
      <c r="A41" s="18" t="s">
        <v>25</v>
      </c>
      <c r="B41" s="20">
        <f>B37-B38-B39-B40</f>
        <v>0</v>
      </c>
      <c r="C41" s="20">
        <f>C37-C38-C39-C40</f>
        <v>0</v>
      </c>
      <c r="D41" s="20">
        <f>D37-D38-D39-D40</f>
        <v>0</v>
      </c>
      <c r="E41" s="20">
        <f>E37-E38-E39-E40</f>
        <v>0</v>
      </c>
      <c r="F41" s="20">
        <f>F37-F38-F39-F40</f>
        <v>0</v>
      </c>
    </row>
    <row r="44" spans="1:6">
      <c r="A44" s="15" t="s">
        <v>26</v>
      </c>
      <c r="B44" s="15"/>
      <c r="C44" s="15"/>
      <c r="D44" s="15"/>
      <c r="E44" s="15"/>
      <c r="F44" s="15"/>
    </row>
    <row r="45" spans="1:6">
      <c r="A45" s="15"/>
      <c r="B45" s="15"/>
      <c r="C45" s="15"/>
      <c r="D45" s="15"/>
      <c r="E45" s="15"/>
      <c r="F45" s="15"/>
    </row>
  </sheetData>
  <mergeCells count="6">
    <mergeCell ref="A44:F45"/>
    <mergeCell ref="A1:F1"/>
    <mergeCell ref="A2:F2"/>
    <mergeCell ref="A15:F15"/>
    <mergeCell ref="A24:F24"/>
    <mergeCell ref="A33:F33"/>
  </mergeCells>
  <conditionalFormatting sqref="B41:F41">
    <cfRule type="expression" dxfId="3" priority="1">
      <formula>ABS(B41)&gt;1</formula>
    </cfRule>
    <cfRule type="expression" dxfId="2" priority="2">
      <formula>ABS(B41)&lt;=1</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45"/>
  <sheetViews>
    <sheetView showGridLines="0" workbookViewId="0">
      <selection activeCell="A90" sqref="A90:F90"/>
    </sheetView>
  </sheetViews>
  <sheetFormatPr baseColWidth="10" defaultColWidth="8.83203125" defaultRowHeight="14"/>
  <cols>
    <col min="1" max="1" width="47" style="6" customWidth="1"/>
    <col min="2" max="6" width="13" style="6" customWidth="1"/>
    <col min="7" max="7" width="8.83203125" style="6"/>
    <col min="8" max="8" width="18" style="6" customWidth="1"/>
    <col min="9" max="9" width="78" style="6" customWidth="1"/>
    <col min="10" max="10" width="52" style="6" customWidth="1"/>
    <col min="11" max="16384" width="8.83203125" style="6"/>
  </cols>
  <sheetData>
    <row r="1" spans="1:10" ht="18">
      <c r="A1" s="30" t="s">
        <v>57</v>
      </c>
      <c r="B1" s="30"/>
      <c r="C1" s="30"/>
      <c r="D1" s="30"/>
      <c r="E1" s="30"/>
      <c r="F1" s="30"/>
    </row>
    <row r="2" spans="1:10">
      <c r="A2" s="15" t="s">
        <v>58</v>
      </c>
      <c r="B2" s="15"/>
      <c r="C2" s="15"/>
      <c r="D2" s="15"/>
      <c r="E2" s="15"/>
      <c r="F2" s="15"/>
    </row>
    <row r="4" spans="1:10">
      <c r="A4" s="23" t="s">
        <v>2</v>
      </c>
      <c r="B4" s="23">
        <v>2021</v>
      </c>
      <c r="C4" s="23">
        <v>2022</v>
      </c>
      <c r="D4" s="23">
        <v>2023</v>
      </c>
      <c r="E4" s="23">
        <v>2024</v>
      </c>
      <c r="F4" s="23">
        <v>2025</v>
      </c>
      <c r="H4" s="24" t="s">
        <v>59</v>
      </c>
      <c r="I4" s="24" t="s">
        <v>60</v>
      </c>
      <c r="J4" s="24" t="s">
        <v>61</v>
      </c>
    </row>
    <row r="5" spans="1:10" ht="30">
      <c r="H5" s="7" t="s">
        <v>62</v>
      </c>
      <c r="I5" s="7" t="s">
        <v>63</v>
      </c>
      <c r="J5" s="7" t="s">
        <v>64</v>
      </c>
    </row>
    <row r="6" spans="1:10" ht="30">
      <c r="A6" s="21" t="s">
        <v>65</v>
      </c>
      <c r="B6" s="21"/>
      <c r="C6" s="21"/>
      <c r="D6" s="21"/>
      <c r="E6" s="21"/>
      <c r="F6" s="21"/>
      <c r="H6" s="7" t="s">
        <v>66</v>
      </c>
      <c r="I6" s="7" t="s">
        <v>67</v>
      </c>
      <c r="J6" s="7" t="s">
        <v>68</v>
      </c>
    </row>
    <row r="7" spans="1:10" ht="30">
      <c r="A7" s="6" t="s">
        <v>4</v>
      </c>
      <c r="B7" s="9">
        <f>'Source Data'!B5</f>
        <v>41554</v>
      </c>
      <c r="C7" s="9">
        <f>'Source Data'!C5</f>
        <v>35118</v>
      </c>
      <c r="D7" s="9">
        <f>'Source Data'!D5</f>
        <v>30652</v>
      </c>
      <c r="E7" s="9">
        <f>'Source Data'!E5</f>
        <v>27290</v>
      </c>
      <c r="F7" s="9">
        <f>'Source Data'!F5</f>
        <v>18546</v>
      </c>
      <c r="H7" s="7" t="s">
        <v>69</v>
      </c>
      <c r="I7" s="7" t="s">
        <v>37</v>
      </c>
      <c r="J7" s="7" t="s">
        <v>70</v>
      </c>
    </row>
    <row r="8" spans="1:10" ht="30">
      <c r="A8" s="6" t="s">
        <v>5</v>
      </c>
      <c r="B8" s="9">
        <f>'Source Data'!B6</f>
        <v>20634</v>
      </c>
      <c r="C8" s="9">
        <f>'Source Data'!C6</f>
        <v>14495</v>
      </c>
      <c r="D8" s="9">
        <f>'Source Data'!D6</f>
        <v>9958</v>
      </c>
      <c r="E8" s="9">
        <f>'Source Data'!E6</f>
        <v>8460</v>
      </c>
      <c r="F8" s="9">
        <f>'Source Data'!F6</f>
        <v>6417</v>
      </c>
      <c r="H8" s="7" t="s">
        <v>71</v>
      </c>
      <c r="I8" s="7" t="s">
        <v>35</v>
      </c>
      <c r="J8" s="7" t="s">
        <v>72</v>
      </c>
    </row>
    <row r="9" spans="1:10">
      <c r="A9" s="6" t="s">
        <v>6</v>
      </c>
      <c r="B9" s="25">
        <f>B8-B10</f>
        <v>2844</v>
      </c>
      <c r="C9" s="25">
        <f>C8-C10</f>
        <v>2532</v>
      </c>
      <c r="D9" s="25">
        <f>D8-D10</f>
        <v>2790</v>
      </c>
      <c r="E9" s="25">
        <f>E8-E10</f>
        <v>3175</v>
      </c>
      <c r="F9" s="25">
        <f>F8-F10</f>
        <v>2382</v>
      </c>
    </row>
    <row r="10" spans="1:10">
      <c r="A10" s="18" t="s">
        <v>7</v>
      </c>
      <c r="B10" s="19">
        <f>'Source Data'!B7</f>
        <v>17790</v>
      </c>
      <c r="C10" s="19">
        <f>'Source Data'!C7</f>
        <v>11963</v>
      </c>
      <c r="D10" s="19">
        <f>'Source Data'!D7</f>
        <v>7168</v>
      </c>
      <c r="E10" s="19">
        <f>'Source Data'!E7</f>
        <v>5285</v>
      </c>
      <c r="F10" s="19">
        <f>'Source Data'!F7</f>
        <v>4035</v>
      </c>
    </row>
    <row r="11" spans="1:10">
      <c r="A11" s="6" t="s">
        <v>73</v>
      </c>
      <c r="B11" s="9">
        <f>'Source Data'!B11</f>
        <v>-5193</v>
      </c>
      <c r="C11" s="9">
        <f>'Source Data'!C11</f>
        <v>-5738</v>
      </c>
      <c r="D11" s="9">
        <f>'Source Data'!D11</f>
        <v>-5734</v>
      </c>
      <c r="E11" s="9">
        <f>'Source Data'!E11</f>
        <v>-5490</v>
      </c>
      <c r="F11" s="9">
        <f>'Source Data'!F11</f>
        <v>-3322</v>
      </c>
    </row>
    <row r="12" spans="1:10">
      <c r="A12" s="18" t="s">
        <v>74</v>
      </c>
      <c r="B12" s="26">
        <v>3842</v>
      </c>
      <c r="C12" s="26">
        <v>6918</v>
      </c>
      <c r="D12" s="26">
        <v>10615</v>
      </c>
      <c r="E12" s="26">
        <v>10623</v>
      </c>
      <c r="F12" s="26">
        <v>8571</v>
      </c>
    </row>
    <row r="13" spans="1:10">
      <c r="B13" s="10"/>
      <c r="C13" s="10"/>
      <c r="D13" s="10"/>
      <c r="E13" s="10"/>
      <c r="F13" s="10"/>
    </row>
    <row r="14" spans="1:10">
      <c r="B14" s="10"/>
      <c r="C14" s="10"/>
      <c r="D14" s="10"/>
      <c r="E14" s="10"/>
      <c r="F14" s="10"/>
    </row>
    <row r="15" spans="1:10">
      <c r="A15" s="21" t="s">
        <v>3</v>
      </c>
      <c r="B15" s="22"/>
      <c r="C15" s="22"/>
      <c r="D15" s="22"/>
      <c r="E15" s="22"/>
      <c r="F15" s="22"/>
    </row>
    <row r="16" spans="1:10">
      <c r="A16" s="6" t="s">
        <v>4</v>
      </c>
      <c r="B16" s="10">
        <v>41554</v>
      </c>
      <c r="C16" s="10">
        <v>35118</v>
      </c>
      <c r="D16" s="10">
        <v>30652</v>
      </c>
      <c r="E16" s="10">
        <v>27290</v>
      </c>
      <c r="F16" s="10">
        <v>18546</v>
      </c>
    </row>
    <row r="17" spans="1:8">
      <c r="A17" s="6" t="s">
        <v>75</v>
      </c>
      <c r="B17" s="27">
        <v>-23962</v>
      </c>
      <c r="C17" s="27">
        <v>-25875</v>
      </c>
      <c r="D17" s="27">
        <v>-26748</v>
      </c>
      <c r="E17" s="27">
        <v>-27518</v>
      </c>
      <c r="F17" s="27">
        <v>-17194</v>
      </c>
    </row>
    <row r="18" spans="1:8">
      <c r="A18" s="18" t="s">
        <v>76</v>
      </c>
      <c r="B18" s="20">
        <f>B16+B17</f>
        <v>17592</v>
      </c>
      <c r="C18" s="20">
        <f>C16+C17</f>
        <v>9243</v>
      </c>
      <c r="D18" s="20">
        <f>D16+D17</f>
        <v>3904</v>
      </c>
      <c r="E18" s="20">
        <f>E16+E17</f>
        <v>-228</v>
      </c>
      <c r="F18" s="20">
        <f>F16+F17</f>
        <v>1352</v>
      </c>
      <c r="H18" s="10"/>
    </row>
    <row r="19" spans="1:8">
      <c r="A19" s="6" t="s">
        <v>77</v>
      </c>
      <c r="B19" s="27">
        <v>-207</v>
      </c>
      <c r="C19" s="27">
        <v>-77</v>
      </c>
      <c r="D19" s="27">
        <v>-100</v>
      </c>
      <c r="E19" s="27">
        <v>-79</v>
      </c>
      <c r="F19" s="27">
        <v>-59</v>
      </c>
    </row>
    <row r="20" spans="1:8">
      <c r="A20" s="6" t="s">
        <v>78</v>
      </c>
      <c r="B20" s="27">
        <v>634</v>
      </c>
      <c r="C20" s="27">
        <v>641</v>
      </c>
      <c r="D20" s="27">
        <v>378</v>
      </c>
      <c r="E20" s="27">
        <v>134</v>
      </c>
      <c r="F20" s="27">
        <v>82</v>
      </c>
    </row>
    <row r="21" spans="1:8">
      <c r="A21" s="18" t="s">
        <v>79</v>
      </c>
      <c r="B21" s="20">
        <f>SUM(B18:B20)</f>
        <v>18019</v>
      </c>
      <c r="C21" s="20">
        <f>SUM(C18:C20)</f>
        <v>9807</v>
      </c>
      <c r="D21" s="20">
        <f>SUM(D18:D20)</f>
        <v>4182</v>
      </c>
      <c r="E21" s="20">
        <f>SUM(E18:E20)</f>
        <v>-173</v>
      </c>
      <c r="F21" s="20">
        <f>SUM(F18:F20)</f>
        <v>1375</v>
      </c>
    </row>
    <row r="22" spans="1:8">
      <c r="A22" s="6" t="s">
        <v>80</v>
      </c>
      <c r="B22" s="27">
        <v>139</v>
      </c>
      <c r="C22" s="27">
        <v>214</v>
      </c>
      <c r="D22" s="27">
        <v>427</v>
      </c>
      <c r="E22" s="27">
        <v>426</v>
      </c>
      <c r="F22" s="27">
        <v>392</v>
      </c>
    </row>
    <row r="23" spans="1:8">
      <c r="A23" s="6" t="s">
        <v>81</v>
      </c>
      <c r="B23" s="27">
        <v>-550</v>
      </c>
      <c r="C23" s="27">
        <v>-515</v>
      </c>
      <c r="D23" s="27">
        <v>-990</v>
      </c>
      <c r="E23" s="27">
        <v>-1172</v>
      </c>
      <c r="F23" s="27">
        <v>-862</v>
      </c>
    </row>
    <row r="24" spans="1:8">
      <c r="A24" s="6" t="s">
        <v>82</v>
      </c>
      <c r="B24" s="27">
        <v>21</v>
      </c>
      <c r="C24" s="27">
        <v>-26</v>
      </c>
      <c r="D24" s="27">
        <v>-24</v>
      </c>
      <c r="E24" s="27">
        <v>-5</v>
      </c>
      <c r="F24" s="27">
        <v>-22</v>
      </c>
    </row>
    <row r="25" spans="1:8">
      <c r="A25" s="18" t="s">
        <v>38</v>
      </c>
      <c r="B25" s="20">
        <f>SUM(B22:B24)</f>
        <v>-390</v>
      </c>
      <c r="C25" s="20">
        <f>SUM(C22:C24)</f>
        <v>-327</v>
      </c>
      <c r="D25" s="20">
        <f>SUM(D22:D24)</f>
        <v>-587</v>
      </c>
      <c r="E25" s="20">
        <f>SUM(E22:E24)</f>
        <v>-751</v>
      </c>
      <c r="F25" s="20">
        <f>SUM(F22:F24)</f>
        <v>-492</v>
      </c>
    </row>
    <row r="26" spans="1:8">
      <c r="A26" s="18" t="s">
        <v>83</v>
      </c>
      <c r="B26" s="20">
        <f>B21+B25</f>
        <v>17629</v>
      </c>
      <c r="C26" s="20">
        <f>C21+C25</f>
        <v>9480</v>
      </c>
      <c r="D26" s="20">
        <f>D21+D25</f>
        <v>3595</v>
      </c>
      <c r="E26" s="20">
        <f>E21+E25</f>
        <v>-924</v>
      </c>
      <c r="F26" s="20">
        <f>F21+F25</f>
        <v>883</v>
      </c>
    </row>
    <row r="27" spans="1:8">
      <c r="A27" s="6" t="s">
        <v>84</v>
      </c>
      <c r="B27" s="27">
        <v>-5930</v>
      </c>
      <c r="C27" s="27">
        <v>-3456</v>
      </c>
      <c r="D27" s="27">
        <v>-2251</v>
      </c>
      <c r="E27" s="27">
        <v>-1864</v>
      </c>
      <c r="F27" s="27">
        <v>-1587</v>
      </c>
    </row>
    <row r="28" spans="1:8">
      <c r="A28" s="18" t="s">
        <v>85</v>
      </c>
      <c r="B28" s="20">
        <f>B26+B27</f>
        <v>11699</v>
      </c>
      <c r="C28" s="20">
        <f>C26+C27</f>
        <v>6024</v>
      </c>
      <c r="D28" s="20">
        <f>D26+D27</f>
        <v>1344</v>
      </c>
      <c r="E28" s="20">
        <f>E26+E27</f>
        <v>-2788</v>
      </c>
      <c r="F28" s="20">
        <f>F26+F27</f>
        <v>-704</v>
      </c>
    </row>
    <row r="29" spans="1:8">
      <c r="A29" s="6" t="s">
        <v>86</v>
      </c>
      <c r="B29" s="27">
        <v>0</v>
      </c>
      <c r="C29" s="27">
        <v>0</v>
      </c>
      <c r="D29" s="27">
        <v>0</v>
      </c>
      <c r="E29" s="27">
        <v>0</v>
      </c>
      <c r="F29" s="27">
        <v>-2466</v>
      </c>
    </row>
    <row r="30" spans="1:8">
      <c r="A30" s="18" t="s">
        <v>87</v>
      </c>
      <c r="B30" s="20">
        <f>B28+B29</f>
        <v>11699</v>
      </c>
      <c r="C30" s="20">
        <f>C28+C29</f>
        <v>6024</v>
      </c>
      <c r="D30" s="20">
        <f>D28+D29</f>
        <v>1344</v>
      </c>
      <c r="E30" s="20">
        <f>E28+E29</f>
        <v>-2788</v>
      </c>
      <c r="F30" s="20">
        <f>F28+F29</f>
        <v>-3170</v>
      </c>
    </row>
    <row r="31" spans="1:8">
      <c r="A31" s="6" t="s">
        <v>88</v>
      </c>
      <c r="B31" s="27">
        <v>3137</v>
      </c>
      <c r="C31" s="27">
        <v>1510</v>
      </c>
      <c r="D31" s="27">
        <v>1061</v>
      </c>
      <c r="E31" s="27">
        <v>280</v>
      </c>
      <c r="F31" s="27">
        <v>571</v>
      </c>
    </row>
    <row r="32" spans="1:8">
      <c r="A32" s="18" t="s">
        <v>9</v>
      </c>
      <c r="B32" s="20">
        <f>B30-B31</f>
        <v>8562</v>
      </c>
      <c r="C32" s="20">
        <f>C30-C31</f>
        <v>4514</v>
      </c>
      <c r="D32" s="20">
        <f>D30-D31</f>
        <v>283</v>
      </c>
      <c r="E32" s="20">
        <f>E30-E31</f>
        <v>-3068</v>
      </c>
      <c r="F32" s="20">
        <f>F30-F31</f>
        <v>-3741</v>
      </c>
    </row>
    <row r="33" spans="1:6">
      <c r="B33" s="10"/>
      <c r="C33" s="10"/>
      <c r="D33" s="10"/>
      <c r="E33" s="10"/>
      <c r="F33" s="10"/>
    </row>
    <row r="34" spans="1:6">
      <c r="B34" s="10"/>
      <c r="C34" s="10"/>
      <c r="D34" s="10"/>
      <c r="E34" s="10"/>
      <c r="F34" s="10"/>
    </row>
    <row r="35" spans="1:6">
      <c r="A35" s="21" t="s">
        <v>10</v>
      </c>
      <c r="B35" s="22"/>
      <c r="C35" s="22"/>
      <c r="D35" s="22"/>
      <c r="E35" s="22"/>
      <c r="F35" s="22"/>
    </row>
    <row r="36" spans="1:6">
      <c r="A36" s="6" t="s">
        <v>83</v>
      </c>
      <c r="B36" s="25">
        <f>B26</f>
        <v>17629</v>
      </c>
      <c r="C36" s="25">
        <f>C26</f>
        <v>9480</v>
      </c>
      <c r="D36" s="25">
        <f>D26</f>
        <v>3595</v>
      </c>
      <c r="E36" s="25">
        <f>E26</f>
        <v>-924</v>
      </c>
      <c r="F36" s="25">
        <f>F26</f>
        <v>883</v>
      </c>
    </row>
    <row r="37" spans="1:6">
      <c r="A37" s="6" t="s">
        <v>38</v>
      </c>
      <c r="B37" s="25">
        <f>-B25</f>
        <v>390</v>
      </c>
      <c r="C37" s="25">
        <f>-C25</f>
        <v>327</v>
      </c>
      <c r="D37" s="25">
        <f>-D25</f>
        <v>587</v>
      </c>
      <c r="E37" s="25">
        <f>-E25</f>
        <v>751</v>
      </c>
      <c r="F37" s="25">
        <f>-F25</f>
        <v>492</v>
      </c>
    </row>
    <row r="38" spans="1:6">
      <c r="A38" s="6" t="s">
        <v>78</v>
      </c>
      <c r="B38" s="25">
        <f>-B20</f>
        <v>-634</v>
      </c>
      <c r="C38" s="25">
        <f>-C20</f>
        <v>-641</v>
      </c>
      <c r="D38" s="25">
        <f>-D20</f>
        <v>-378</v>
      </c>
      <c r="E38" s="25">
        <f>-E20</f>
        <v>-134</v>
      </c>
      <c r="F38" s="25">
        <f>-F20</f>
        <v>-82</v>
      </c>
    </row>
    <row r="39" spans="1:6">
      <c r="A39" s="6" t="s">
        <v>77</v>
      </c>
      <c r="B39" s="25">
        <f>-B19</f>
        <v>207</v>
      </c>
      <c r="C39" s="25">
        <f>-C19</f>
        <v>77</v>
      </c>
      <c r="D39" s="25">
        <f>-D19</f>
        <v>100</v>
      </c>
      <c r="E39" s="25">
        <f>-E19</f>
        <v>79</v>
      </c>
      <c r="F39" s="25">
        <f>-F19</f>
        <v>59</v>
      </c>
    </row>
    <row r="40" spans="1:6">
      <c r="A40" s="6" t="s">
        <v>76</v>
      </c>
      <c r="B40" s="25">
        <f>SUM(B36:B39)</f>
        <v>17592</v>
      </c>
      <c r="C40" s="25">
        <f>SUM(C36:C39)</f>
        <v>9243</v>
      </c>
      <c r="D40" s="25">
        <f>SUM(D36:D39)</f>
        <v>3904</v>
      </c>
      <c r="E40" s="25">
        <f>SUM(E36:E39)</f>
        <v>-228</v>
      </c>
      <c r="F40" s="25">
        <f>SUM(F36:F39)</f>
        <v>1352</v>
      </c>
    </row>
    <row r="41" spans="1:6">
      <c r="A41" s="6" t="s">
        <v>89</v>
      </c>
      <c r="B41" s="27">
        <v>-499</v>
      </c>
      <c r="C41" s="27">
        <v>1681</v>
      </c>
      <c r="D41" s="27">
        <v>2652</v>
      </c>
      <c r="E41" s="27">
        <v>5240</v>
      </c>
      <c r="F41" s="27">
        <v>2548</v>
      </c>
    </row>
    <row r="42" spans="1:6">
      <c r="A42" s="6" t="s">
        <v>90</v>
      </c>
      <c r="B42" s="27">
        <v>-18</v>
      </c>
      <c r="C42" s="27">
        <v>-12</v>
      </c>
      <c r="D42" s="27">
        <v>-89</v>
      </c>
      <c r="E42" s="27">
        <v>-331</v>
      </c>
      <c r="F42" s="27">
        <v>-273</v>
      </c>
    </row>
    <row r="43" spans="1:6">
      <c r="A43" s="6" t="s">
        <v>6</v>
      </c>
      <c r="B43" s="27">
        <v>2715</v>
      </c>
      <c r="C43" s="27">
        <v>2446</v>
      </c>
      <c r="D43" s="27">
        <v>2685</v>
      </c>
      <c r="E43" s="27">
        <v>3072</v>
      </c>
      <c r="F43" s="27">
        <v>2301</v>
      </c>
    </row>
    <row r="44" spans="1:6">
      <c r="A44" s="6" t="s">
        <v>91</v>
      </c>
      <c r="B44" s="27">
        <v>189</v>
      </c>
      <c r="C44" s="27">
        <v>215</v>
      </c>
      <c r="D44" s="27">
        <v>175</v>
      </c>
      <c r="E44" s="27">
        <v>189</v>
      </c>
      <c r="F44" s="27">
        <v>129</v>
      </c>
    </row>
    <row r="45" spans="1:6">
      <c r="A45" s="6" t="s">
        <v>92</v>
      </c>
      <c r="B45" s="27">
        <v>-303</v>
      </c>
      <c r="C45" s="27">
        <v>250</v>
      </c>
      <c r="D45" s="27">
        <v>25</v>
      </c>
      <c r="E45" s="27">
        <v>-204</v>
      </c>
      <c r="F45" s="27">
        <v>181</v>
      </c>
    </row>
    <row r="46" spans="1:6">
      <c r="A46" s="6" t="s">
        <v>93</v>
      </c>
      <c r="B46" s="27">
        <v>328</v>
      </c>
      <c r="C46" s="27">
        <v>-1776</v>
      </c>
      <c r="D46" s="27">
        <v>2</v>
      </c>
      <c r="E46" s="27">
        <v>779</v>
      </c>
      <c r="F46" s="27">
        <v>659</v>
      </c>
    </row>
    <row r="47" spans="1:6">
      <c r="A47" s="6" t="s">
        <v>94</v>
      </c>
      <c r="B47" s="27">
        <v>-637</v>
      </c>
      <c r="C47" s="27">
        <v>-374</v>
      </c>
      <c r="D47" s="27">
        <v>-384</v>
      </c>
      <c r="E47" s="27">
        <v>989</v>
      </c>
      <c r="F47" s="27">
        <v>-856</v>
      </c>
    </row>
    <row r="48" spans="1:6">
      <c r="A48" s="6" t="s">
        <v>95</v>
      </c>
      <c r="B48" s="27">
        <v>1368</v>
      </c>
      <c r="C48" s="27">
        <v>48</v>
      </c>
      <c r="D48" s="27">
        <v>-785</v>
      </c>
      <c r="E48" s="27">
        <v>19</v>
      </c>
      <c r="F48" s="27">
        <v>756</v>
      </c>
    </row>
    <row r="49" spans="1:6">
      <c r="A49" s="6" t="s">
        <v>96</v>
      </c>
      <c r="B49" s="27">
        <v>-147</v>
      </c>
      <c r="C49" s="27">
        <v>168</v>
      </c>
      <c r="D49" s="27">
        <v>-70</v>
      </c>
      <c r="E49" s="27">
        <v>-163</v>
      </c>
      <c r="F49" s="27">
        <v>208</v>
      </c>
    </row>
    <row r="50" spans="1:6">
      <c r="A50" s="18" t="s">
        <v>97</v>
      </c>
      <c r="B50" s="20">
        <f>SUM(B40:B49)</f>
        <v>20588</v>
      </c>
      <c r="C50" s="20">
        <f>SUM(C40:C49)</f>
        <v>11889</v>
      </c>
      <c r="D50" s="20">
        <f>SUM(D40:D49)</f>
        <v>8115</v>
      </c>
      <c r="E50" s="20">
        <f>SUM(E40:E49)</f>
        <v>9362</v>
      </c>
      <c r="F50" s="20">
        <f>SUM(F40:F49)</f>
        <v>7005</v>
      </c>
    </row>
    <row r="51" spans="1:6">
      <c r="A51" s="6" t="s">
        <v>98</v>
      </c>
      <c r="B51" s="27">
        <v>475</v>
      </c>
      <c r="C51" s="27">
        <v>602</v>
      </c>
      <c r="D51" s="27">
        <v>379</v>
      </c>
      <c r="E51" s="27">
        <v>315</v>
      </c>
      <c r="F51" s="27">
        <v>46</v>
      </c>
    </row>
    <row r="52" spans="1:6">
      <c r="A52" s="6" t="s">
        <v>99</v>
      </c>
      <c r="B52" s="27">
        <v>1</v>
      </c>
      <c r="C52" s="27">
        <v>0</v>
      </c>
      <c r="D52" s="27">
        <v>3</v>
      </c>
      <c r="E52" s="27">
        <v>0</v>
      </c>
      <c r="F52" s="27">
        <v>1</v>
      </c>
    </row>
    <row r="53" spans="1:6">
      <c r="A53" s="6" t="s">
        <v>100</v>
      </c>
      <c r="B53" s="27">
        <v>-4341</v>
      </c>
      <c r="C53" s="27">
        <v>-2726</v>
      </c>
      <c r="D53" s="27">
        <v>-2001</v>
      </c>
      <c r="E53" s="27">
        <v>-1574</v>
      </c>
      <c r="F53" s="27">
        <v>-1329</v>
      </c>
    </row>
    <row r="54" spans="1:6">
      <c r="A54" s="6" t="s">
        <v>101</v>
      </c>
      <c r="B54" s="27">
        <v>0</v>
      </c>
      <c r="C54" s="27">
        <v>0</v>
      </c>
      <c r="D54" s="27">
        <v>0</v>
      </c>
      <c r="E54" s="27">
        <v>0</v>
      </c>
      <c r="F54" s="27">
        <v>-212</v>
      </c>
    </row>
    <row r="55" spans="1:6">
      <c r="A55" s="18" t="s">
        <v>11</v>
      </c>
      <c r="B55" s="20">
        <f>SUM(B50:B54)</f>
        <v>16723</v>
      </c>
      <c r="C55" s="20">
        <f>SUM(C50:C54)</f>
        <v>9765</v>
      </c>
      <c r="D55" s="20">
        <f>SUM(D50:D54)</f>
        <v>6496</v>
      </c>
      <c r="E55" s="20">
        <f>SUM(E50:E54)</f>
        <v>8103</v>
      </c>
      <c r="F55" s="20">
        <f>SUM(F50:F54)</f>
        <v>5511</v>
      </c>
    </row>
    <row r="56" spans="1:6">
      <c r="B56" s="10"/>
      <c r="C56" s="10"/>
      <c r="D56" s="10"/>
      <c r="E56" s="10"/>
      <c r="F56" s="10"/>
    </row>
    <row r="57" spans="1:6">
      <c r="A57" s="6" t="s">
        <v>102</v>
      </c>
      <c r="B57" s="27">
        <v>-5732</v>
      </c>
      <c r="C57" s="27">
        <v>-6191</v>
      </c>
      <c r="D57" s="27">
        <v>-5876</v>
      </c>
      <c r="E57" s="27">
        <v>-5532</v>
      </c>
      <c r="F57" s="27">
        <v>-3340</v>
      </c>
    </row>
    <row r="58" spans="1:6">
      <c r="A58" s="6" t="s">
        <v>103</v>
      </c>
      <c r="B58" s="27">
        <v>-8</v>
      </c>
      <c r="C58" s="27">
        <v>0</v>
      </c>
      <c r="D58" s="27">
        <v>-3</v>
      </c>
      <c r="E58" s="27">
        <v>-1</v>
      </c>
      <c r="F58" s="27">
        <v>1</v>
      </c>
    </row>
    <row r="59" spans="1:6">
      <c r="A59" s="6" t="s">
        <v>104</v>
      </c>
      <c r="B59" s="27">
        <v>17</v>
      </c>
      <c r="C59" s="27">
        <v>7</v>
      </c>
      <c r="D59" s="27">
        <v>16</v>
      </c>
      <c r="E59" s="27">
        <v>13</v>
      </c>
      <c r="F59" s="27">
        <v>17</v>
      </c>
    </row>
    <row r="60" spans="1:6">
      <c r="A60" s="6" t="s">
        <v>105</v>
      </c>
      <c r="B60" s="27">
        <v>-35</v>
      </c>
      <c r="C60" s="27">
        <v>-37</v>
      </c>
      <c r="D60" s="27">
        <v>-15</v>
      </c>
      <c r="E60" s="27">
        <v>-62</v>
      </c>
      <c r="F60" s="27">
        <v>5</v>
      </c>
    </row>
    <row r="61" spans="1:6">
      <c r="A61" s="6" t="s">
        <v>106</v>
      </c>
      <c r="B61" s="27">
        <v>-68</v>
      </c>
      <c r="C61" s="27">
        <v>-129</v>
      </c>
      <c r="D61" s="27">
        <v>-133</v>
      </c>
      <c r="E61" s="27">
        <v>-80</v>
      </c>
      <c r="F61" s="27">
        <v>-41</v>
      </c>
    </row>
    <row r="62" spans="1:6">
      <c r="A62" s="6" t="s">
        <v>107</v>
      </c>
      <c r="B62" s="27">
        <v>29</v>
      </c>
      <c r="C62" s="27">
        <v>-142</v>
      </c>
      <c r="D62" s="27">
        <v>-63</v>
      </c>
      <c r="E62" s="27">
        <v>6</v>
      </c>
      <c r="F62" s="27">
        <v>2415</v>
      </c>
    </row>
    <row r="63" spans="1:6">
      <c r="A63" s="6" t="s">
        <v>108</v>
      </c>
      <c r="B63" s="27">
        <v>87</v>
      </c>
      <c r="C63" s="27">
        <v>181</v>
      </c>
      <c r="D63" s="27">
        <v>377</v>
      </c>
      <c r="E63" s="27">
        <v>378</v>
      </c>
      <c r="F63" s="27">
        <v>325</v>
      </c>
    </row>
    <row r="64" spans="1:6">
      <c r="A64" s="6" t="s">
        <v>109</v>
      </c>
      <c r="B64" s="27">
        <v>0</v>
      </c>
      <c r="C64" s="27">
        <v>0</v>
      </c>
      <c r="D64" s="27">
        <v>-10</v>
      </c>
      <c r="E64" s="27">
        <v>0</v>
      </c>
      <c r="F64" s="27">
        <v>-20</v>
      </c>
    </row>
    <row r="65" spans="1:6">
      <c r="A65" s="6" t="s">
        <v>110</v>
      </c>
      <c r="B65" s="27">
        <v>63</v>
      </c>
      <c r="C65" s="27">
        <v>564</v>
      </c>
      <c r="D65" s="27">
        <v>210</v>
      </c>
      <c r="E65" s="27">
        <v>177</v>
      </c>
      <c r="F65" s="27">
        <v>-50</v>
      </c>
    </row>
    <row r="66" spans="1:6">
      <c r="A66" s="6" t="s">
        <v>13</v>
      </c>
      <c r="B66" s="27">
        <v>89</v>
      </c>
      <c r="C66" s="27">
        <v>-70</v>
      </c>
      <c r="D66" s="27">
        <v>-63</v>
      </c>
      <c r="E66" s="27">
        <v>-34</v>
      </c>
      <c r="F66" s="27">
        <v>10</v>
      </c>
    </row>
    <row r="67" spans="1:6">
      <c r="A67" s="6" t="s">
        <v>111</v>
      </c>
      <c r="B67" s="27">
        <v>0</v>
      </c>
      <c r="C67" s="27">
        <v>0</v>
      </c>
      <c r="D67" s="27">
        <v>0</v>
      </c>
      <c r="E67" s="27">
        <v>0</v>
      </c>
      <c r="F67" s="27">
        <v>-1230</v>
      </c>
    </row>
    <row r="68" spans="1:6">
      <c r="A68" s="18" t="s">
        <v>43</v>
      </c>
      <c r="B68" s="20">
        <f>SUM(B57:B67)</f>
        <v>-5558</v>
      </c>
      <c r="C68" s="20">
        <f>SUM(C57:C67)</f>
        <v>-5817</v>
      </c>
      <c r="D68" s="20">
        <f>SUM(D57:D67)</f>
        <v>-5560</v>
      </c>
      <c r="E68" s="20">
        <f>SUM(E57:E67)</f>
        <v>-5135</v>
      </c>
      <c r="F68" s="20">
        <f>SUM(F57:F67)</f>
        <v>-1908</v>
      </c>
    </row>
    <row r="69" spans="1:6">
      <c r="B69" s="10"/>
      <c r="C69" s="10"/>
      <c r="D69" s="10"/>
      <c r="E69" s="10"/>
      <c r="F69" s="10"/>
    </row>
    <row r="70" spans="1:6">
      <c r="A70" s="6" t="s">
        <v>112</v>
      </c>
      <c r="B70" s="27">
        <v>-433</v>
      </c>
      <c r="C70" s="27">
        <v>-420</v>
      </c>
      <c r="D70" s="27">
        <v>-701</v>
      </c>
      <c r="E70" s="27">
        <v>-851</v>
      </c>
      <c r="F70" s="27">
        <v>-798</v>
      </c>
    </row>
    <row r="71" spans="1:6">
      <c r="A71" s="6" t="s">
        <v>113</v>
      </c>
      <c r="B71" s="27">
        <v>95</v>
      </c>
      <c r="C71" s="27">
        <v>-1</v>
      </c>
      <c r="D71" s="27">
        <v>-605</v>
      </c>
      <c r="E71" s="27">
        <v>-479</v>
      </c>
      <c r="F71" s="27">
        <v>-322</v>
      </c>
    </row>
    <row r="72" spans="1:6">
      <c r="A72" s="6" t="s">
        <v>114</v>
      </c>
      <c r="B72" s="27">
        <v>-4047</v>
      </c>
      <c r="C72" s="27">
        <v>-3549</v>
      </c>
      <c r="D72" s="27">
        <v>-1564</v>
      </c>
      <c r="E72" s="27">
        <v>-1026</v>
      </c>
      <c r="F72" s="27">
        <v>-344</v>
      </c>
    </row>
    <row r="73" spans="1:6">
      <c r="A73" s="6" t="s">
        <v>115</v>
      </c>
      <c r="B73" s="27">
        <v>-2838</v>
      </c>
      <c r="C73" s="27">
        <v>-1794</v>
      </c>
      <c r="D73" s="27">
        <v>-978</v>
      </c>
      <c r="E73" s="27">
        <v>-549</v>
      </c>
      <c r="F73" s="27">
        <v>-542</v>
      </c>
    </row>
    <row r="74" spans="1:6">
      <c r="A74" s="6" t="s">
        <v>116</v>
      </c>
      <c r="B74" s="27">
        <v>996</v>
      </c>
      <c r="C74" s="27">
        <v>1963</v>
      </c>
      <c r="D74" s="27">
        <v>1950</v>
      </c>
      <c r="E74" s="27">
        <v>2853</v>
      </c>
      <c r="F74" s="27">
        <v>0</v>
      </c>
    </row>
    <row r="75" spans="1:6">
      <c r="A75" s="6" t="s">
        <v>117</v>
      </c>
      <c r="B75" s="27">
        <v>972</v>
      </c>
      <c r="C75" s="27">
        <v>1537</v>
      </c>
      <c r="D75" s="27">
        <v>1113</v>
      </c>
      <c r="E75" s="27">
        <v>2442</v>
      </c>
      <c r="F75" s="27">
        <v>970</v>
      </c>
    </row>
    <row r="76" spans="1:6">
      <c r="A76" s="6" t="s">
        <v>118</v>
      </c>
      <c r="B76" s="27">
        <v>-336</v>
      </c>
      <c r="C76" s="27">
        <v>-266</v>
      </c>
      <c r="D76" s="27">
        <v>-309</v>
      </c>
      <c r="E76" s="27">
        <v>-412</v>
      </c>
      <c r="F76" s="27">
        <v>-287</v>
      </c>
    </row>
    <row r="77" spans="1:6">
      <c r="A77" s="6" t="s">
        <v>119</v>
      </c>
      <c r="B77" s="27">
        <v>-2554</v>
      </c>
      <c r="C77" s="27">
        <v>-1098</v>
      </c>
      <c r="D77" s="27">
        <v>-1650</v>
      </c>
      <c r="E77" s="27">
        <v>-3463</v>
      </c>
      <c r="F77" s="27">
        <v>-4587</v>
      </c>
    </row>
    <row r="78" spans="1:6">
      <c r="A78" s="6" t="s">
        <v>120</v>
      </c>
      <c r="B78" s="27">
        <v>-1084</v>
      </c>
      <c r="C78" s="27">
        <v>-527</v>
      </c>
      <c r="D78" s="27">
        <v>-274</v>
      </c>
      <c r="E78" s="27">
        <v>-135</v>
      </c>
      <c r="F78" s="27">
        <v>-102</v>
      </c>
    </row>
    <row r="79" spans="1:6">
      <c r="A79" s="6" t="s">
        <v>121</v>
      </c>
      <c r="B79" s="27">
        <v>0</v>
      </c>
      <c r="C79" s="27">
        <v>0</v>
      </c>
      <c r="D79" s="27">
        <v>0</v>
      </c>
      <c r="E79" s="27">
        <v>965</v>
      </c>
      <c r="F79" s="27">
        <v>0</v>
      </c>
    </row>
    <row r="80" spans="1:6">
      <c r="A80" s="6" t="s">
        <v>122</v>
      </c>
      <c r="B80" s="27">
        <v>-127</v>
      </c>
      <c r="C80" s="27">
        <v>-213</v>
      </c>
      <c r="D80" s="27">
        <v>-205</v>
      </c>
      <c r="E80" s="27">
        <v>-185</v>
      </c>
      <c r="F80" s="27">
        <v>-60</v>
      </c>
    </row>
    <row r="81" spans="1:6">
      <c r="A81" s="6" t="s">
        <v>123</v>
      </c>
      <c r="B81" s="27">
        <v>0</v>
      </c>
      <c r="C81" s="27">
        <v>0</v>
      </c>
      <c r="D81" s="27">
        <v>0</v>
      </c>
      <c r="E81" s="27">
        <v>0</v>
      </c>
      <c r="F81" s="27">
        <v>581</v>
      </c>
    </row>
    <row r="82" spans="1:6">
      <c r="A82" s="18" t="s">
        <v>44</v>
      </c>
      <c r="B82" s="20">
        <f>SUM(B70:B81)</f>
        <v>-9356</v>
      </c>
      <c r="C82" s="20">
        <f>SUM(C70:C81)</f>
        <v>-4368</v>
      </c>
      <c r="D82" s="20">
        <f>SUM(D70:D81)</f>
        <v>-3223</v>
      </c>
      <c r="E82" s="20">
        <f>SUM(E70:E81)</f>
        <v>-840</v>
      </c>
      <c r="F82" s="20">
        <f>SUM(F70:F81)</f>
        <v>-5491</v>
      </c>
    </row>
    <row r="83" spans="1:6">
      <c r="B83" s="10"/>
      <c r="C83" s="10"/>
      <c r="D83" s="10"/>
      <c r="E83" s="10"/>
      <c r="F83" s="10"/>
    </row>
    <row r="84" spans="1:6">
      <c r="A84" s="18" t="s">
        <v>124</v>
      </c>
      <c r="B84" s="20">
        <f>B55+B68+B82</f>
        <v>1809</v>
      </c>
      <c r="C84" s="20">
        <f>C55+C68+C82</f>
        <v>-420</v>
      </c>
      <c r="D84" s="20">
        <f>D55+D68+D82</f>
        <v>-2287</v>
      </c>
      <c r="E84" s="20">
        <f>E55+E68+E82</f>
        <v>2128</v>
      </c>
      <c r="F84" s="20">
        <f>F55+F68+F82</f>
        <v>-1888</v>
      </c>
    </row>
    <row r="85" spans="1:6">
      <c r="A85" s="6" t="s">
        <v>125</v>
      </c>
      <c r="B85" s="27">
        <v>7508</v>
      </c>
      <c r="C85" s="27">
        <v>9057</v>
      </c>
      <c r="D85" s="27">
        <v>8400</v>
      </c>
      <c r="E85" s="27">
        <v>6074</v>
      </c>
      <c r="F85" s="27">
        <v>8134</v>
      </c>
    </row>
    <row r="86" spans="1:6">
      <c r="A86" s="6" t="s">
        <v>126</v>
      </c>
      <c r="B86" s="27">
        <v>-260</v>
      </c>
      <c r="C86" s="27">
        <v>-237</v>
      </c>
      <c r="D86" s="27">
        <v>-39</v>
      </c>
      <c r="E86" s="27">
        <v>-68</v>
      </c>
      <c r="F86" s="27">
        <v>172</v>
      </c>
    </row>
    <row r="87" spans="1:6">
      <c r="A87" s="18" t="s">
        <v>16</v>
      </c>
      <c r="B87" s="20">
        <f>B85+B84+B86</f>
        <v>9057</v>
      </c>
      <c r="C87" s="20">
        <f>C85+C84+C86</f>
        <v>8400</v>
      </c>
      <c r="D87" s="20">
        <f>D85+D84+D86</f>
        <v>6074</v>
      </c>
      <c r="E87" s="20">
        <f>E85+E84+E86</f>
        <v>8134</v>
      </c>
      <c r="F87" s="20">
        <f>F85+F84+F86</f>
        <v>6418</v>
      </c>
    </row>
    <row r="88" spans="1:6">
      <c r="B88" s="10"/>
      <c r="C88" s="10"/>
      <c r="D88" s="10"/>
      <c r="E88" s="10"/>
      <c r="F88" s="10"/>
    </row>
    <row r="89" spans="1:6">
      <c r="B89" s="10"/>
      <c r="C89" s="10"/>
      <c r="D89" s="10"/>
      <c r="E89" s="10"/>
      <c r="F89" s="10"/>
    </row>
    <row r="90" spans="1:6">
      <c r="A90" s="21" t="s">
        <v>17</v>
      </c>
      <c r="B90" s="22"/>
      <c r="C90" s="22"/>
      <c r="D90" s="22"/>
      <c r="E90" s="22"/>
      <c r="F90" s="22"/>
    </row>
    <row r="91" spans="1:6">
      <c r="A91" s="28" t="s">
        <v>127</v>
      </c>
      <c r="B91" s="29"/>
      <c r="C91" s="29"/>
      <c r="D91" s="29"/>
      <c r="E91" s="29"/>
      <c r="F91" s="29"/>
    </row>
    <row r="92" spans="1:6">
      <c r="A92" s="6" t="s">
        <v>128</v>
      </c>
      <c r="B92" s="27">
        <v>3002</v>
      </c>
      <c r="C92" s="27">
        <v>2828</v>
      </c>
      <c r="D92" s="27">
        <v>1479</v>
      </c>
      <c r="E92" s="27">
        <v>940</v>
      </c>
      <c r="F92" s="27">
        <v>504</v>
      </c>
    </row>
    <row r="93" spans="1:6">
      <c r="A93" s="6" t="s">
        <v>19</v>
      </c>
      <c r="B93" s="27">
        <v>39501</v>
      </c>
      <c r="C93" s="27">
        <v>41125</v>
      </c>
      <c r="D93" s="27">
        <v>43949</v>
      </c>
      <c r="E93" s="27">
        <v>40844</v>
      </c>
      <c r="F93" s="27">
        <v>34253</v>
      </c>
    </row>
    <row r="94" spans="1:6">
      <c r="A94" s="6" t="s">
        <v>129</v>
      </c>
      <c r="B94" s="27">
        <v>113</v>
      </c>
      <c r="C94" s="27">
        <v>107</v>
      </c>
      <c r="D94" s="27">
        <v>108</v>
      </c>
      <c r="E94" s="27">
        <v>151</v>
      </c>
      <c r="F94" s="27">
        <v>117</v>
      </c>
    </row>
    <row r="95" spans="1:6">
      <c r="A95" s="6" t="s">
        <v>130</v>
      </c>
      <c r="B95" s="27">
        <v>1021</v>
      </c>
      <c r="C95" s="27">
        <v>1056</v>
      </c>
      <c r="D95" s="27">
        <v>1066</v>
      </c>
      <c r="E95" s="27">
        <v>587</v>
      </c>
      <c r="F95" s="27">
        <v>565</v>
      </c>
    </row>
    <row r="96" spans="1:6">
      <c r="A96" s="6" t="s">
        <v>131</v>
      </c>
      <c r="B96" s="27">
        <v>340</v>
      </c>
      <c r="C96" s="27">
        <v>390</v>
      </c>
      <c r="D96" s="27">
        <v>391</v>
      </c>
      <c r="E96" s="27">
        <v>292</v>
      </c>
      <c r="F96" s="27">
        <v>229</v>
      </c>
    </row>
    <row r="97" spans="1:6">
      <c r="A97" s="6" t="s">
        <v>132</v>
      </c>
      <c r="B97" s="27">
        <v>583</v>
      </c>
      <c r="C97" s="27">
        <v>809</v>
      </c>
      <c r="D97" s="27">
        <v>847</v>
      </c>
      <c r="E97" s="27">
        <v>1192</v>
      </c>
      <c r="F97" s="27">
        <v>806</v>
      </c>
    </row>
    <row r="98" spans="1:6">
      <c r="A98" s="6" t="s">
        <v>133</v>
      </c>
      <c r="B98" s="27">
        <v>870</v>
      </c>
      <c r="C98" s="27">
        <v>440</v>
      </c>
      <c r="D98" s="27">
        <v>467</v>
      </c>
      <c r="E98" s="27">
        <v>432</v>
      </c>
      <c r="F98" s="27">
        <v>309</v>
      </c>
    </row>
    <row r="99" spans="1:6">
      <c r="A99" s="6" t="s">
        <v>134</v>
      </c>
      <c r="B99" s="27">
        <v>532</v>
      </c>
      <c r="C99" s="27">
        <v>198</v>
      </c>
      <c r="D99" s="27">
        <v>262</v>
      </c>
      <c r="E99" s="27">
        <v>294</v>
      </c>
      <c r="F99" s="27">
        <v>291</v>
      </c>
    </row>
    <row r="100" spans="1:6">
      <c r="A100" s="6" t="s">
        <v>135</v>
      </c>
      <c r="B100" s="27">
        <v>256</v>
      </c>
      <c r="C100" s="27">
        <v>49</v>
      </c>
      <c r="D100" s="27">
        <v>238</v>
      </c>
      <c r="E100" s="27">
        <v>116</v>
      </c>
      <c r="F100" s="27">
        <v>457</v>
      </c>
    </row>
    <row r="101" spans="1:6">
      <c r="A101" s="6" t="s">
        <v>136</v>
      </c>
      <c r="B101" s="27">
        <v>794</v>
      </c>
      <c r="C101" s="27">
        <v>469</v>
      </c>
      <c r="D101" s="27">
        <v>410</v>
      </c>
      <c r="E101" s="27">
        <v>358</v>
      </c>
      <c r="F101" s="27">
        <v>352</v>
      </c>
    </row>
    <row r="102" spans="1:6">
      <c r="A102" s="18" t="s">
        <v>137</v>
      </c>
      <c r="B102" s="20">
        <f>SUM(B92:B101)</f>
        <v>47012</v>
      </c>
      <c r="C102" s="20">
        <f>SUM(C92:C101)</f>
        <v>47471</v>
      </c>
      <c r="D102" s="20">
        <f>SUM(D92:D101)</f>
        <v>49217</v>
      </c>
      <c r="E102" s="20">
        <f>SUM(E92:E101)</f>
        <v>45206</v>
      </c>
      <c r="F102" s="20">
        <f>SUM(F92:F101)</f>
        <v>37883</v>
      </c>
    </row>
    <row r="103" spans="1:6">
      <c r="B103" s="10"/>
      <c r="C103" s="10"/>
      <c r="D103" s="10"/>
      <c r="E103" s="10"/>
      <c r="F103" s="10"/>
    </row>
    <row r="104" spans="1:6">
      <c r="A104" s="28" t="s">
        <v>138</v>
      </c>
      <c r="B104" s="29"/>
      <c r="C104" s="29"/>
      <c r="D104" s="29"/>
      <c r="E104" s="29"/>
      <c r="F104" s="29"/>
    </row>
    <row r="105" spans="1:6">
      <c r="A105" s="6" t="s">
        <v>139</v>
      </c>
      <c r="B105" s="27">
        <v>5228</v>
      </c>
      <c r="C105" s="27">
        <v>6598</v>
      </c>
      <c r="D105" s="27">
        <v>6387</v>
      </c>
      <c r="E105" s="27">
        <v>5247</v>
      </c>
      <c r="F105" s="27">
        <v>3013</v>
      </c>
    </row>
    <row r="106" spans="1:6">
      <c r="A106" s="6" t="s">
        <v>140</v>
      </c>
      <c r="B106" s="27">
        <v>4309</v>
      </c>
      <c r="C106" s="27">
        <v>4483</v>
      </c>
      <c r="D106" s="27">
        <v>4516</v>
      </c>
      <c r="E106" s="27">
        <v>3228</v>
      </c>
      <c r="F106" s="27">
        <v>3748</v>
      </c>
    </row>
    <row r="107" spans="1:6">
      <c r="A107" s="6" t="s">
        <v>141</v>
      </c>
      <c r="B107" s="27">
        <v>104</v>
      </c>
      <c r="C107" s="27">
        <v>201</v>
      </c>
      <c r="D107" s="27">
        <v>170</v>
      </c>
      <c r="E107" s="27">
        <v>266</v>
      </c>
      <c r="F107" s="27">
        <v>169</v>
      </c>
    </row>
    <row r="108" spans="1:6">
      <c r="A108" s="6" t="s">
        <v>142</v>
      </c>
      <c r="B108" s="27">
        <v>187</v>
      </c>
      <c r="C108" s="27">
        <v>204</v>
      </c>
      <c r="D108" s="27">
        <v>118</v>
      </c>
      <c r="E108" s="27">
        <v>186</v>
      </c>
      <c r="F108" s="27">
        <v>153</v>
      </c>
    </row>
    <row r="109" spans="1:6">
      <c r="A109" s="6" t="s">
        <v>143</v>
      </c>
      <c r="B109" s="27">
        <v>29</v>
      </c>
      <c r="C109" s="27">
        <v>38</v>
      </c>
      <c r="D109" s="27">
        <v>48</v>
      </c>
      <c r="E109" s="27">
        <v>36</v>
      </c>
      <c r="F109" s="27">
        <v>2</v>
      </c>
    </row>
    <row r="110" spans="1:6">
      <c r="A110" s="6" t="s">
        <v>18</v>
      </c>
      <c r="B110" s="27">
        <v>9066</v>
      </c>
      <c r="C110" s="27">
        <v>8412</v>
      </c>
      <c r="D110" s="27">
        <v>6088</v>
      </c>
      <c r="E110" s="27">
        <v>8167</v>
      </c>
      <c r="F110" s="27">
        <v>6436</v>
      </c>
    </row>
    <row r="111" spans="1:6">
      <c r="A111" s="18" t="s">
        <v>144</v>
      </c>
      <c r="B111" s="20">
        <f>SUM(B105:B110)</f>
        <v>18923</v>
      </c>
      <c r="C111" s="20">
        <f>SUM(C105:C110)</f>
        <v>19936</v>
      </c>
      <c r="D111" s="20">
        <f>SUM(D105:D110)</f>
        <v>17327</v>
      </c>
      <c r="E111" s="20">
        <f>SUM(E105:E110)</f>
        <v>17130</v>
      </c>
      <c r="F111" s="20">
        <f>SUM(F105:F110)</f>
        <v>13521</v>
      </c>
    </row>
    <row r="112" spans="1:6">
      <c r="A112" s="6" t="s">
        <v>145</v>
      </c>
      <c r="B112" s="27">
        <v>50</v>
      </c>
      <c r="C112" s="27">
        <v>0</v>
      </c>
      <c r="D112" s="27">
        <v>0</v>
      </c>
      <c r="E112" s="27">
        <v>2530</v>
      </c>
      <c r="F112" s="27">
        <v>4590</v>
      </c>
    </row>
    <row r="113" spans="1:6">
      <c r="A113" s="18" t="s">
        <v>21</v>
      </c>
      <c r="B113" s="20">
        <f>B102+B111+B112</f>
        <v>65985</v>
      </c>
      <c r="C113" s="20">
        <f>C102+C111+C112</f>
        <v>67407</v>
      </c>
      <c r="D113" s="20">
        <f>D102+D111+D112</f>
        <v>66544</v>
      </c>
      <c r="E113" s="20">
        <f>E102+E111+E112</f>
        <v>64866</v>
      </c>
      <c r="F113" s="20">
        <f>F102+F111+F112</f>
        <v>55994</v>
      </c>
    </row>
    <row r="114" spans="1:6">
      <c r="B114" s="10"/>
      <c r="C114" s="10"/>
      <c r="D114" s="10"/>
      <c r="E114" s="10"/>
      <c r="F114" s="10"/>
    </row>
    <row r="115" spans="1:6">
      <c r="A115" s="28" t="s">
        <v>146</v>
      </c>
      <c r="B115" s="29"/>
      <c r="C115" s="29"/>
      <c r="D115" s="29"/>
      <c r="E115" s="29"/>
      <c r="F115" s="29"/>
    </row>
    <row r="116" spans="1:6">
      <c r="A116" s="6" t="s">
        <v>147</v>
      </c>
      <c r="B116" s="27">
        <v>-7930</v>
      </c>
      <c r="C116" s="27">
        <v>-7380</v>
      </c>
      <c r="D116" s="27">
        <v>-6511</v>
      </c>
      <c r="E116" s="27">
        <v>-6092</v>
      </c>
      <c r="F116" s="27">
        <v>-4879</v>
      </c>
    </row>
    <row r="117" spans="1:6">
      <c r="A117" s="6" t="s">
        <v>148</v>
      </c>
      <c r="B117" s="27">
        <v>-1235</v>
      </c>
      <c r="C117" s="27">
        <v>-1420</v>
      </c>
      <c r="D117" s="27">
        <v>-1740</v>
      </c>
      <c r="E117" s="27">
        <v>-2019</v>
      </c>
      <c r="F117" s="27">
        <v>-1075</v>
      </c>
    </row>
    <row r="118" spans="1:6">
      <c r="A118" s="6" t="s">
        <v>149</v>
      </c>
      <c r="B118" s="27">
        <v>-579</v>
      </c>
      <c r="C118" s="27">
        <v>-684</v>
      </c>
      <c r="D118" s="27">
        <v>-684</v>
      </c>
      <c r="E118" s="27">
        <v>-740</v>
      </c>
      <c r="F118" s="27">
        <v>-446</v>
      </c>
    </row>
    <row r="119" spans="1:6">
      <c r="A119" s="6" t="s">
        <v>150</v>
      </c>
      <c r="B119" s="27">
        <v>-627</v>
      </c>
      <c r="C119" s="27">
        <v>-569</v>
      </c>
      <c r="D119" s="27">
        <v>-326</v>
      </c>
      <c r="E119" s="27">
        <v>-191</v>
      </c>
      <c r="F119" s="27">
        <v>-176</v>
      </c>
    </row>
    <row r="120" spans="1:6">
      <c r="A120" s="6" t="s">
        <v>151</v>
      </c>
      <c r="B120" s="27">
        <v>-212</v>
      </c>
      <c r="C120" s="27">
        <v>-441</v>
      </c>
      <c r="D120" s="27">
        <v>-94</v>
      </c>
      <c r="E120" s="27">
        <v>-191</v>
      </c>
      <c r="F120" s="27">
        <v>-264</v>
      </c>
    </row>
    <row r="121" spans="1:6">
      <c r="A121" s="18" t="s">
        <v>152</v>
      </c>
      <c r="B121" s="20">
        <f>SUM(B116:B120)</f>
        <v>-10583</v>
      </c>
      <c r="C121" s="20">
        <f>SUM(C116:C120)</f>
        <v>-10494</v>
      </c>
      <c r="D121" s="20">
        <f>SUM(D116:D120)</f>
        <v>-9355</v>
      </c>
      <c r="E121" s="20">
        <f>SUM(E116:E120)</f>
        <v>-9233</v>
      </c>
      <c r="F121" s="20">
        <f>SUM(F116:F120)</f>
        <v>-6840</v>
      </c>
    </row>
    <row r="122" spans="1:6">
      <c r="B122" s="10"/>
      <c r="C122" s="10"/>
      <c r="D122" s="10"/>
      <c r="E122" s="10"/>
      <c r="F122" s="10"/>
    </row>
    <row r="123" spans="1:6">
      <c r="A123" s="28" t="s">
        <v>153</v>
      </c>
      <c r="B123" s="29"/>
      <c r="C123" s="29"/>
      <c r="D123" s="29"/>
      <c r="E123" s="29"/>
      <c r="F123" s="29"/>
    </row>
    <row r="124" spans="1:6">
      <c r="A124" s="6" t="s">
        <v>154</v>
      </c>
      <c r="B124" s="27">
        <v>-318</v>
      </c>
      <c r="C124" s="27">
        <v>-249</v>
      </c>
      <c r="D124" s="27">
        <v>-189</v>
      </c>
      <c r="E124" s="27">
        <v>-190</v>
      </c>
      <c r="F124" s="27">
        <v>-77</v>
      </c>
    </row>
    <row r="125" spans="1:6">
      <c r="A125" s="6" t="s">
        <v>155</v>
      </c>
      <c r="B125" s="27">
        <v>-11621</v>
      </c>
      <c r="C125" s="27">
        <v>-12945</v>
      </c>
      <c r="D125" s="27">
        <v>-15172</v>
      </c>
      <c r="E125" s="27">
        <v>-16191</v>
      </c>
      <c r="F125" s="27">
        <v>-14406</v>
      </c>
    </row>
    <row r="126" spans="1:6">
      <c r="A126" s="6" t="s">
        <v>156</v>
      </c>
      <c r="B126" s="27">
        <v>-382</v>
      </c>
      <c r="C126" s="27">
        <v>-510</v>
      </c>
      <c r="D126" s="27">
        <v>-578</v>
      </c>
      <c r="E126" s="27">
        <v>-478</v>
      </c>
      <c r="F126" s="27">
        <v>-576</v>
      </c>
    </row>
    <row r="127" spans="1:6">
      <c r="A127" s="6" t="s">
        <v>157</v>
      </c>
      <c r="B127" s="27">
        <v>-502</v>
      </c>
      <c r="C127" s="27">
        <v>-510</v>
      </c>
      <c r="D127" s="27">
        <v>-531</v>
      </c>
      <c r="E127" s="27">
        <v>-503</v>
      </c>
      <c r="F127" s="27">
        <v>-560</v>
      </c>
    </row>
    <row r="128" spans="1:6">
      <c r="A128" s="6" t="s">
        <v>158</v>
      </c>
      <c r="B128" s="27">
        <v>-4865</v>
      </c>
      <c r="C128" s="27">
        <v>-5249</v>
      </c>
      <c r="D128" s="27">
        <v>-5580</v>
      </c>
      <c r="E128" s="27">
        <v>-6061</v>
      </c>
      <c r="F128" s="27">
        <v>-4844</v>
      </c>
    </row>
    <row r="129" spans="1:6">
      <c r="A129" s="6" t="s">
        <v>159</v>
      </c>
      <c r="B129" s="27">
        <v>-317</v>
      </c>
      <c r="C129" s="27">
        <v>-888</v>
      </c>
      <c r="D129" s="27">
        <v>-648</v>
      </c>
      <c r="E129" s="27">
        <v>-740</v>
      </c>
      <c r="F129" s="27">
        <v>-311</v>
      </c>
    </row>
    <row r="130" spans="1:6">
      <c r="A130" s="6" t="s">
        <v>160</v>
      </c>
      <c r="B130" s="27">
        <v>-2627</v>
      </c>
      <c r="C130" s="27">
        <v>-2609</v>
      </c>
      <c r="D130" s="27">
        <v>-2874</v>
      </c>
      <c r="E130" s="27">
        <v>-2574</v>
      </c>
      <c r="F130" s="27">
        <v>-2850</v>
      </c>
    </row>
    <row r="131" spans="1:6">
      <c r="A131" s="18" t="s">
        <v>161</v>
      </c>
      <c r="B131" s="20">
        <f>SUM(B124:B130)</f>
        <v>-20632</v>
      </c>
      <c r="C131" s="20">
        <f>SUM(C124:C130)</f>
        <v>-22960</v>
      </c>
      <c r="D131" s="20">
        <f>SUM(D124:D130)</f>
        <v>-25572</v>
      </c>
      <c r="E131" s="20">
        <f>SUM(E124:E130)</f>
        <v>-26737</v>
      </c>
      <c r="F131" s="20">
        <f>SUM(F124:F130)</f>
        <v>-23624</v>
      </c>
    </row>
    <row r="132" spans="1:6">
      <c r="A132" s="6" t="s">
        <v>162</v>
      </c>
      <c r="B132" s="27">
        <v>0</v>
      </c>
      <c r="C132" s="27">
        <v>0</v>
      </c>
      <c r="D132" s="27">
        <v>0</v>
      </c>
      <c r="E132" s="27">
        <v>-363</v>
      </c>
      <c r="F132" s="27">
        <v>-1413</v>
      </c>
    </row>
    <row r="133" spans="1:6">
      <c r="A133" s="18" t="s">
        <v>163</v>
      </c>
      <c r="B133" s="20">
        <f>B121+B131+B132</f>
        <v>-31215</v>
      </c>
      <c r="C133" s="20">
        <f>C121+C131+C132</f>
        <v>-33454</v>
      </c>
      <c r="D133" s="20">
        <f>D121+D131+D132</f>
        <v>-34927</v>
      </c>
      <c r="E133" s="20">
        <f>E121+E131+E132</f>
        <v>-36333</v>
      </c>
      <c r="F133" s="20">
        <f>F121+F131+F132</f>
        <v>-31877</v>
      </c>
    </row>
    <row r="134" spans="1:6">
      <c r="A134" s="18" t="s">
        <v>164</v>
      </c>
      <c r="B134" s="20">
        <f>B113+B133</f>
        <v>34770</v>
      </c>
      <c r="C134" s="20">
        <f>C113+C133</f>
        <v>33953</v>
      </c>
      <c r="D134" s="20">
        <f>D113+D133</f>
        <v>31617</v>
      </c>
      <c r="E134" s="20">
        <f>E113+E133</f>
        <v>28533</v>
      </c>
      <c r="F134" s="20">
        <f>F113+F133</f>
        <v>24117</v>
      </c>
    </row>
    <row r="135" spans="1:6">
      <c r="B135" s="10"/>
      <c r="C135" s="10"/>
      <c r="D135" s="10"/>
      <c r="E135" s="10"/>
      <c r="F135" s="10"/>
    </row>
    <row r="136" spans="1:6">
      <c r="A136" s="28" t="s">
        <v>165</v>
      </c>
      <c r="B136" s="29"/>
      <c r="C136" s="29"/>
      <c r="D136" s="29"/>
      <c r="E136" s="29"/>
      <c r="F136" s="29"/>
    </row>
    <row r="137" spans="1:6">
      <c r="A137" s="6" t="s">
        <v>166</v>
      </c>
      <c r="B137" s="27">
        <v>737</v>
      </c>
      <c r="C137" s="27">
        <v>734</v>
      </c>
      <c r="D137" s="27">
        <v>734</v>
      </c>
      <c r="E137" s="27">
        <v>734</v>
      </c>
      <c r="F137" s="27">
        <v>734</v>
      </c>
    </row>
    <row r="138" spans="1:6">
      <c r="A138" s="6" t="s">
        <v>167</v>
      </c>
      <c r="B138" s="27">
        <v>2558</v>
      </c>
      <c r="C138" s="27">
        <v>2558</v>
      </c>
      <c r="D138" s="27">
        <v>2558</v>
      </c>
      <c r="E138" s="27">
        <v>2558</v>
      </c>
      <c r="F138" s="27">
        <v>2558</v>
      </c>
    </row>
    <row r="139" spans="1:6">
      <c r="A139" s="6" t="s">
        <v>168</v>
      </c>
      <c r="B139" s="27">
        <v>-6141</v>
      </c>
      <c r="C139" s="27">
        <v>-6272</v>
      </c>
      <c r="D139" s="27">
        <v>-6275</v>
      </c>
      <c r="E139" s="27">
        <v>-6188</v>
      </c>
      <c r="F139" s="27">
        <v>-6031</v>
      </c>
    </row>
    <row r="140" spans="1:6">
      <c r="A140" s="6" t="s">
        <v>169</v>
      </c>
      <c r="B140" s="27">
        <v>-11045</v>
      </c>
      <c r="C140" s="27">
        <v>-12070</v>
      </c>
      <c r="D140" s="27">
        <v>-12820</v>
      </c>
      <c r="E140" s="27">
        <v>-13088</v>
      </c>
      <c r="F140" s="27">
        <v>-7498</v>
      </c>
    </row>
    <row r="141" spans="1:6">
      <c r="A141" s="6" t="s">
        <v>170</v>
      </c>
      <c r="B141" s="27">
        <v>41716</v>
      </c>
      <c r="C141" s="27">
        <v>42368</v>
      </c>
      <c r="D141" s="27">
        <v>40860</v>
      </c>
      <c r="E141" s="27">
        <v>36744</v>
      </c>
      <c r="F141" s="27">
        <v>28212</v>
      </c>
    </row>
    <row r="142" spans="1:6">
      <c r="A142" s="18" t="s">
        <v>171</v>
      </c>
      <c r="B142" s="20">
        <f>SUM(B137:B141)</f>
        <v>27825</v>
      </c>
      <c r="C142" s="20">
        <f>SUM(C137:C141)</f>
        <v>27318</v>
      </c>
      <c r="D142" s="20">
        <f>SUM(D137:D141)</f>
        <v>25057</v>
      </c>
      <c r="E142" s="20">
        <f>SUM(E137:E141)</f>
        <v>20760</v>
      </c>
      <c r="F142" s="20">
        <f>SUM(F137:F141)</f>
        <v>17975</v>
      </c>
    </row>
    <row r="143" spans="1:6">
      <c r="A143" s="6" t="s">
        <v>88</v>
      </c>
      <c r="B143" s="27">
        <v>6945</v>
      </c>
      <c r="C143" s="27">
        <v>6635</v>
      </c>
      <c r="D143" s="27">
        <v>6560</v>
      </c>
      <c r="E143" s="27">
        <v>7773</v>
      </c>
      <c r="F143" s="27">
        <v>6142</v>
      </c>
    </row>
    <row r="144" spans="1:6">
      <c r="A144" s="18" t="s">
        <v>24</v>
      </c>
      <c r="B144" s="20">
        <f>B142+B143</f>
        <v>34770</v>
      </c>
      <c r="C144" s="20">
        <f>C142+C143</f>
        <v>33953</v>
      </c>
      <c r="D144" s="20">
        <f>D142+D143</f>
        <v>31617</v>
      </c>
      <c r="E144" s="20">
        <f>E142+E143</f>
        <v>28533</v>
      </c>
      <c r="F144" s="20">
        <f>F142+F143</f>
        <v>24117</v>
      </c>
    </row>
    <row r="145" spans="1:6">
      <c r="A145" s="18" t="s">
        <v>25</v>
      </c>
      <c r="B145" s="20">
        <f>B134-B144</f>
        <v>0</v>
      </c>
      <c r="C145" s="20">
        <f>C134-C144</f>
        <v>0</v>
      </c>
      <c r="D145" s="20">
        <f>D134-D144</f>
        <v>0</v>
      </c>
      <c r="E145" s="20">
        <f>E134-E144</f>
        <v>0</v>
      </c>
      <c r="F145" s="20">
        <f>F134-F144</f>
        <v>0</v>
      </c>
    </row>
  </sheetData>
  <mergeCells count="6">
    <mergeCell ref="A90:F90"/>
    <mergeCell ref="A1:F1"/>
    <mergeCell ref="A2:F2"/>
    <mergeCell ref="A6:F6"/>
    <mergeCell ref="A15:F15"/>
    <mergeCell ref="A35:F35"/>
  </mergeCells>
  <conditionalFormatting sqref="B145:F145">
    <cfRule type="expression" dxfId="1" priority="1">
      <formula>ABS(B145)&gt;1</formula>
    </cfRule>
    <cfRule type="expression" dxfId="0" priority="2">
      <formula>ABS(B145)&lt;=1</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0"/>
  <sheetViews>
    <sheetView showGridLines="0" workbookViewId="0">
      <selection activeCell="B6" sqref="B6"/>
    </sheetView>
  </sheetViews>
  <sheetFormatPr baseColWidth="10" defaultColWidth="8.83203125" defaultRowHeight="14"/>
  <cols>
    <col min="1" max="1" width="42" customWidth="1"/>
    <col min="2" max="6" width="12" customWidth="1"/>
    <col min="7" max="7" width="50" customWidth="1"/>
    <col min="8" max="8" width="72" customWidth="1"/>
  </cols>
  <sheetData>
    <row r="1" spans="1:8" ht="18">
      <c r="A1" s="5" t="s">
        <v>27</v>
      </c>
      <c r="B1" s="5"/>
      <c r="C1" s="5"/>
      <c r="D1" s="5"/>
      <c r="E1" s="5"/>
      <c r="F1" s="5"/>
      <c r="G1" s="5"/>
      <c r="H1" s="5"/>
    </row>
    <row r="2" spans="1:8">
      <c r="A2" s="4" t="s">
        <v>28</v>
      </c>
      <c r="B2" s="4"/>
      <c r="C2" s="4"/>
      <c r="D2" s="4"/>
      <c r="E2" s="4"/>
      <c r="F2" s="4"/>
      <c r="G2" s="4"/>
      <c r="H2" s="4"/>
    </row>
    <row r="4" spans="1:8" ht="15">
      <c r="A4" s="1" t="s">
        <v>29</v>
      </c>
      <c r="B4" s="1">
        <v>2021</v>
      </c>
      <c r="C4" s="1">
        <v>2022</v>
      </c>
      <c r="D4" s="1">
        <v>2023</v>
      </c>
      <c r="E4" s="1">
        <v>2024</v>
      </c>
      <c r="F4" s="1">
        <v>2025</v>
      </c>
      <c r="G4" s="1" t="s">
        <v>30</v>
      </c>
      <c r="H4" s="1" t="s">
        <v>31</v>
      </c>
    </row>
    <row r="5" spans="1:8" ht="30">
      <c r="A5" t="s">
        <v>4</v>
      </c>
      <c r="B5" s="2">
        <v>41554</v>
      </c>
      <c r="C5" s="2">
        <v>35118</v>
      </c>
      <c r="D5" s="2">
        <v>30652</v>
      </c>
      <c r="E5" s="2">
        <v>27290</v>
      </c>
      <c r="F5" s="2">
        <v>18546</v>
      </c>
      <c r="G5" s="3" t="s">
        <v>32</v>
      </c>
      <c r="H5" s="3" t="s">
        <v>33</v>
      </c>
    </row>
    <row r="6" spans="1:8" ht="30">
      <c r="A6" t="s">
        <v>5</v>
      </c>
      <c r="B6" s="2">
        <v>20634</v>
      </c>
      <c r="C6" s="2">
        <v>14495</v>
      </c>
      <c r="D6" s="2">
        <v>9958</v>
      </c>
      <c r="E6" s="2">
        <v>8460</v>
      </c>
      <c r="F6" s="2">
        <v>6417</v>
      </c>
      <c r="G6" s="3" t="s">
        <v>34</v>
      </c>
      <c r="H6" s="3" t="s">
        <v>35</v>
      </c>
    </row>
    <row r="7" spans="1:8" ht="30">
      <c r="A7" t="s">
        <v>7</v>
      </c>
      <c r="B7" s="2">
        <v>17790</v>
      </c>
      <c r="C7" s="2">
        <v>11963</v>
      </c>
      <c r="D7" s="2">
        <v>7168</v>
      </c>
      <c r="E7" s="2">
        <v>5285</v>
      </c>
      <c r="F7" s="2">
        <v>4035</v>
      </c>
      <c r="G7" s="3" t="s">
        <v>36</v>
      </c>
      <c r="H7" s="3" t="s">
        <v>37</v>
      </c>
    </row>
    <row r="8" spans="1:8" ht="30">
      <c r="A8" t="s">
        <v>38</v>
      </c>
      <c r="B8" s="2">
        <v>-390</v>
      </c>
      <c r="C8" s="2">
        <v>-327</v>
      </c>
      <c r="D8" s="2">
        <v>-587</v>
      </c>
      <c r="E8" s="2">
        <v>-751</v>
      </c>
      <c r="F8" s="2">
        <v>-492</v>
      </c>
      <c r="G8" s="3" t="s">
        <v>39</v>
      </c>
      <c r="H8" s="3" t="s">
        <v>35</v>
      </c>
    </row>
    <row r="9" spans="1:8" ht="30">
      <c r="A9" t="s">
        <v>9</v>
      </c>
      <c r="B9" s="2">
        <v>8562</v>
      </c>
      <c r="C9" s="2">
        <v>4514</v>
      </c>
      <c r="D9" s="2">
        <v>283</v>
      </c>
      <c r="E9" s="2">
        <v>-3068</v>
      </c>
      <c r="F9" s="2">
        <v>-3741</v>
      </c>
      <c r="G9" s="3" t="s">
        <v>40</v>
      </c>
      <c r="H9" s="3" t="s">
        <v>35</v>
      </c>
    </row>
    <row r="10" spans="1:8" ht="30">
      <c r="A10" t="s">
        <v>11</v>
      </c>
      <c r="B10" s="2">
        <v>16723</v>
      </c>
      <c r="C10" s="2">
        <v>9765</v>
      </c>
      <c r="D10" s="2">
        <v>6496</v>
      </c>
      <c r="E10" s="2">
        <v>8103</v>
      </c>
      <c r="F10" s="2">
        <v>5511</v>
      </c>
      <c r="G10" s="3" t="s">
        <v>41</v>
      </c>
      <c r="H10" s="3" t="s">
        <v>35</v>
      </c>
    </row>
    <row r="11" spans="1:8" ht="30">
      <c r="A11" t="s">
        <v>12</v>
      </c>
      <c r="B11" s="2">
        <v>-5193</v>
      </c>
      <c r="C11" s="2">
        <v>-5738</v>
      </c>
      <c r="D11" s="2">
        <v>-5734</v>
      </c>
      <c r="E11" s="2">
        <v>-5490</v>
      </c>
      <c r="F11" s="2">
        <v>-3322</v>
      </c>
      <c r="G11" s="3" t="s">
        <v>42</v>
      </c>
      <c r="H11" s="3" t="s">
        <v>35</v>
      </c>
    </row>
    <row r="12" spans="1:8" ht="30">
      <c r="A12" t="s">
        <v>43</v>
      </c>
      <c r="B12" s="2">
        <v>-5558</v>
      </c>
      <c r="C12" s="2">
        <v>-5817</v>
      </c>
      <c r="D12" s="2">
        <v>-5560</v>
      </c>
      <c r="E12" s="2">
        <v>-5135</v>
      </c>
      <c r="F12" s="2">
        <v>-1908</v>
      </c>
      <c r="G12" s="3" t="s">
        <v>41</v>
      </c>
      <c r="H12" s="3" t="s">
        <v>35</v>
      </c>
    </row>
    <row r="13" spans="1:8" ht="30">
      <c r="A13" t="s">
        <v>44</v>
      </c>
      <c r="B13" s="2">
        <v>-9356</v>
      </c>
      <c r="C13" s="2">
        <v>-4368</v>
      </c>
      <c r="D13" s="2">
        <v>-3223</v>
      </c>
      <c r="E13" s="2">
        <v>-840</v>
      </c>
      <c r="F13" s="2">
        <v>-5491</v>
      </c>
      <c r="G13" s="3" t="s">
        <v>41</v>
      </c>
      <c r="H13" s="3" t="s">
        <v>35</v>
      </c>
    </row>
    <row r="14" spans="1:8" ht="30">
      <c r="A14" t="s">
        <v>15</v>
      </c>
      <c r="B14" s="2">
        <v>-260</v>
      </c>
      <c r="C14" s="2">
        <v>-237</v>
      </c>
      <c r="D14" s="2">
        <v>-39</v>
      </c>
      <c r="E14" s="2">
        <v>-68</v>
      </c>
      <c r="F14" s="2">
        <v>172</v>
      </c>
      <c r="G14" s="3" t="s">
        <v>45</v>
      </c>
      <c r="H14" s="3" t="s">
        <v>35</v>
      </c>
    </row>
    <row r="15" spans="1:8" ht="30">
      <c r="A15" t="s">
        <v>46</v>
      </c>
      <c r="B15" s="2">
        <v>7508</v>
      </c>
      <c r="C15" s="2">
        <v>9057</v>
      </c>
      <c r="D15" s="2">
        <v>8400</v>
      </c>
      <c r="E15" s="2">
        <v>6074</v>
      </c>
      <c r="F15" s="2">
        <v>8134</v>
      </c>
      <c r="G15" s="3" t="s">
        <v>47</v>
      </c>
      <c r="H15" s="3" t="s">
        <v>48</v>
      </c>
    </row>
    <row r="16" spans="1:8" ht="30">
      <c r="A16" t="s">
        <v>49</v>
      </c>
      <c r="B16" s="2">
        <v>9</v>
      </c>
      <c r="C16" s="2">
        <v>12</v>
      </c>
      <c r="D16" s="2">
        <v>14</v>
      </c>
      <c r="E16" s="2">
        <v>33</v>
      </c>
      <c r="F16" s="2">
        <v>18</v>
      </c>
      <c r="G16" s="3" t="s">
        <v>50</v>
      </c>
      <c r="H16" s="3" t="s">
        <v>35</v>
      </c>
    </row>
    <row r="17" spans="1:8" ht="30">
      <c r="A17" t="s">
        <v>51</v>
      </c>
      <c r="B17" s="2">
        <v>39501</v>
      </c>
      <c r="C17" s="2">
        <v>41125</v>
      </c>
      <c r="D17" s="2">
        <v>43949</v>
      </c>
      <c r="E17" s="2">
        <v>40844</v>
      </c>
      <c r="F17" s="2">
        <v>34253</v>
      </c>
      <c r="G17" s="3" t="s">
        <v>52</v>
      </c>
      <c r="H17" s="3" t="s">
        <v>35</v>
      </c>
    </row>
    <row r="18" spans="1:8" ht="30">
      <c r="A18" t="s">
        <v>21</v>
      </c>
      <c r="B18" s="2">
        <v>65985</v>
      </c>
      <c r="C18" s="2">
        <v>67407</v>
      </c>
      <c r="D18" s="2">
        <v>66544</v>
      </c>
      <c r="E18" s="2">
        <v>64866</v>
      </c>
      <c r="F18" s="2">
        <v>55994</v>
      </c>
      <c r="G18" s="3" t="s">
        <v>53</v>
      </c>
      <c r="H18" s="3" t="s">
        <v>54</v>
      </c>
    </row>
    <row r="19" spans="1:8" ht="30">
      <c r="A19" t="s">
        <v>22</v>
      </c>
      <c r="B19" s="2">
        <v>12856</v>
      </c>
      <c r="C19" s="2">
        <v>14365</v>
      </c>
      <c r="D19" s="2">
        <v>16912</v>
      </c>
      <c r="E19" s="2">
        <v>18210</v>
      </c>
      <c r="F19" s="2">
        <v>15481</v>
      </c>
      <c r="G19" s="3" t="s">
        <v>55</v>
      </c>
      <c r="H19" s="3" t="s">
        <v>35</v>
      </c>
    </row>
    <row r="20" spans="1:8" ht="30">
      <c r="A20" t="s">
        <v>24</v>
      </c>
      <c r="B20" s="2">
        <v>34770</v>
      </c>
      <c r="C20" s="2">
        <v>33953</v>
      </c>
      <c r="D20" s="2">
        <v>31617</v>
      </c>
      <c r="E20" s="2">
        <v>28533</v>
      </c>
      <c r="F20" s="2">
        <v>24117</v>
      </c>
      <c r="G20" s="3" t="s">
        <v>56</v>
      </c>
      <c r="H20" s="3" t="s">
        <v>35</v>
      </c>
    </row>
  </sheetData>
  <mergeCells count="2">
    <mergeCell ref="A1:H1"/>
    <mergeCell ref="A2:H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DCF</vt:lpstr>
      <vt:lpstr>Assumptions</vt:lpstr>
      <vt:lpstr>Scenarios</vt:lpstr>
      <vt:lpstr>Rationale</vt:lpstr>
      <vt:lpstr>Historical 3-Statement</vt:lpstr>
      <vt:lpstr>Full Historical 3-Statement</vt:lpstr>
      <vt:lpstr>Source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Ibrahim M</cp:lastModifiedBy>
  <dcterms:created xsi:type="dcterms:W3CDTF">2026-09-02T19:11:01Z</dcterms:created>
  <dcterms:modified xsi:type="dcterms:W3CDTF">2026-09-05T18:20:24Z</dcterms:modified>
</cp:coreProperties>
</file>